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meta1"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Đồ án TN\Lí thuyết\"/>
    </mc:Choice>
  </mc:AlternateContent>
  <xr:revisionPtr revIDLastSave="0" documentId="13_ncr:1_{4EABB0C3-6C64-465F-B163-18E3C63D0011}" xr6:coauthVersionLast="47" xr6:coauthVersionMax="47" xr10:uidLastSave="{00000000-0000-0000-0000-000000000000}"/>
  <bookViews>
    <workbookView xWindow="-108" yWindow="-108" windowWidth="23256" windowHeight="13896" tabRatio="721" xr2:uid="{00000000-000D-0000-FFFF-FFFF00000000}"/>
  </bookViews>
  <sheets>
    <sheet name="Invoice" sheetId="11" r:id="rId1"/>
    <sheet name="Cart" sheetId="10" r:id="rId2"/>
    <sheet name="Order" sheetId="9" r:id="rId3"/>
    <sheet name="Register" sheetId="8" r:id="rId4"/>
    <sheet name="Product_detail" sheetId="7" r:id="rId5"/>
    <sheet name="Category" sheetId="6" r:id="rId6"/>
    <sheet name="Search" sheetId="5" r:id="rId7"/>
    <sheet name="Login" sheetId="3" r:id="rId8"/>
    <sheet name="Cover" sheetId="1" state="hidden" r:id="rId9"/>
    <sheet name="Test case List" sheetId="2" r:id="rId10"/>
    <sheet name="Test Report" sheetId="4"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 i="2" l="1"/>
  <c r="E15" i="2"/>
  <c r="E14" i="2"/>
  <c r="E13" i="2"/>
  <c r="E12" i="2"/>
  <c r="E11" i="2"/>
  <c r="E10" i="2"/>
  <c r="E9" i="2"/>
  <c r="D3" i="2"/>
  <c r="H11" i="4"/>
  <c r="H18" i="4"/>
  <c r="H17" i="4"/>
  <c r="H16" i="4"/>
  <c r="H15" i="4"/>
  <c r="H14" i="4"/>
  <c r="H13" i="4"/>
  <c r="C11" i="4"/>
  <c r="A41" i="8"/>
  <c r="C6" i="8"/>
  <c r="F12" i="4" s="1"/>
  <c r="B6" i="8"/>
  <c r="E12" i="4" s="1"/>
  <c r="A15" i="10"/>
  <c r="A16" i="10"/>
  <c r="A17" i="10"/>
  <c r="A18" i="10"/>
  <c r="A19" i="10"/>
  <c r="A20" i="10"/>
  <c r="A21" i="10"/>
  <c r="A22" i="10"/>
  <c r="A23" i="10"/>
  <c r="A24" i="10"/>
  <c r="A25" i="10"/>
  <c r="A26" i="10"/>
  <c r="A27" i="10"/>
  <c r="A28" i="10"/>
  <c r="A29" i="10"/>
  <c r="A30" i="10"/>
  <c r="A31" i="10"/>
  <c r="A32" i="10"/>
  <c r="A33" i="10"/>
  <c r="A34" i="10"/>
  <c r="A35" i="8"/>
  <c r="A24" i="7"/>
  <c r="A21" i="7"/>
  <c r="A22" i="7"/>
  <c r="A23" i="7"/>
  <c r="A11" i="11"/>
  <c r="A12" i="11"/>
  <c r="A13" i="11"/>
  <c r="A14" i="11"/>
  <c r="A15" i="11"/>
  <c r="A16" i="11"/>
  <c r="A17" i="11"/>
  <c r="A18" i="11"/>
  <c r="A19" i="11"/>
  <c r="A20" i="11"/>
  <c r="A21" i="11"/>
  <c r="A22" i="11"/>
  <c r="A23" i="11"/>
  <c r="A18" i="3"/>
  <c r="A24" i="3"/>
  <c r="A10" i="7"/>
  <c r="A11" i="7"/>
  <c r="A12" i="7"/>
  <c r="A13" i="7"/>
  <c r="A14" i="7"/>
  <c r="A15" i="7"/>
  <c r="A16" i="7"/>
  <c r="A17" i="7"/>
  <c r="A18" i="7"/>
  <c r="A19" i="7"/>
  <c r="A20" i="7"/>
  <c r="A10" i="8"/>
  <c r="A11" i="8"/>
  <c r="A12" i="8"/>
  <c r="A13" i="8"/>
  <c r="A14" i="8"/>
  <c r="A15" i="8"/>
  <c r="A16" i="8"/>
  <c r="A17" i="8"/>
  <c r="A18" i="8"/>
  <c r="A19" i="8"/>
  <c r="A20" i="8"/>
  <c r="A21" i="8"/>
  <c r="A22" i="8"/>
  <c r="A23" i="8"/>
  <c r="A24" i="8"/>
  <c r="A25" i="8"/>
  <c r="A26" i="8"/>
  <c r="A27" i="8"/>
  <c r="A28" i="8"/>
  <c r="A29" i="8"/>
  <c r="A30" i="8"/>
  <c r="A31" i="8"/>
  <c r="A32" i="8"/>
  <c r="A33" i="8"/>
  <c r="A34" i="8"/>
  <c r="A36" i="8"/>
  <c r="A37" i="8"/>
  <c r="A38" i="8"/>
  <c r="A39" i="8"/>
  <c r="A40" i="8"/>
  <c r="A42" i="8"/>
  <c r="A43" i="8"/>
  <c r="A44" i="8"/>
  <c r="A45" i="8"/>
  <c r="A46" i="8"/>
  <c r="A47" i="8"/>
  <c r="A48" i="8"/>
  <c r="A49" i="8"/>
  <c r="A50" i="8"/>
  <c r="A51" i="8"/>
  <c r="A52" i="8"/>
  <c r="A53" i="8"/>
  <c r="A54" i="8"/>
  <c r="A55" i="8"/>
  <c r="A56" i="8"/>
  <c r="A57" i="8"/>
  <c r="A58" i="8"/>
  <c r="A59" i="8"/>
  <c r="A60" i="8"/>
  <c r="A61" i="8"/>
  <c r="A62" i="8"/>
  <c r="A63" i="8"/>
  <c r="A64" i="8"/>
  <c r="A65" i="8"/>
  <c r="A10" i="9"/>
  <c r="A11" i="9"/>
  <c r="A12" i="9"/>
  <c r="A13" i="9"/>
  <c r="A14" i="9"/>
  <c r="A15" i="9"/>
  <c r="A16" i="9"/>
  <c r="A17" i="9"/>
  <c r="A18" i="9"/>
  <c r="A19" i="9"/>
  <c r="A20" i="9"/>
  <c r="A10" i="11"/>
  <c r="A9" i="11"/>
  <c r="D6" i="11"/>
  <c r="B6" i="11"/>
  <c r="E18" i="4" s="1"/>
  <c r="A6" i="11"/>
  <c r="D18" i="4" s="1"/>
  <c r="E6" i="11" l="1"/>
  <c r="C6" i="11" s="1"/>
  <c r="F18" i="4" s="1"/>
  <c r="A10" i="10"/>
  <c r="A11" i="10"/>
  <c r="A12" i="10"/>
  <c r="A13" i="10"/>
  <c r="A14" i="10"/>
  <c r="A9" i="10"/>
  <c r="D6" i="10"/>
  <c r="B6" i="10"/>
  <c r="E17" i="4" s="1"/>
  <c r="A6" i="10"/>
  <c r="D17" i="4" s="1"/>
  <c r="E6" i="10" l="1"/>
  <c r="C6" i="10" s="1"/>
  <c r="F17" i="4" s="1"/>
  <c r="A10" i="6" l="1"/>
  <c r="A11" i="6"/>
  <c r="A12" i="6"/>
  <c r="A13" i="6"/>
  <c r="A14" i="6"/>
  <c r="A15" i="6"/>
  <c r="A16" i="6"/>
  <c r="A17" i="6"/>
  <c r="A10" i="5"/>
  <c r="A11" i="5"/>
  <c r="A12" i="5"/>
  <c r="A13" i="5"/>
  <c r="A14" i="5"/>
  <c r="A15" i="5"/>
  <c r="A16" i="5"/>
  <c r="A17" i="5"/>
  <c r="A18" i="5"/>
  <c r="A19" i="5"/>
  <c r="A20" i="5"/>
  <c r="A21" i="5"/>
  <c r="A22" i="5"/>
  <c r="A23" i="5"/>
  <c r="A24" i="5"/>
  <c r="A25" i="5"/>
  <c r="A26" i="5"/>
  <c r="A27" i="5"/>
  <c r="A28" i="5"/>
  <c r="A29" i="5"/>
  <c r="A30" i="5"/>
  <c r="A31" i="5"/>
  <c r="A32" i="5"/>
  <c r="A11" i="3"/>
  <c r="A12" i="3"/>
  <c r="A13" i="3"/>
  <c r="A14" i="3"/>
  <c r="A15" i="3"/>
  <c r="A16" i="3"/>
  <c r="A17" i="3"/>
  <c r="A19" i="3"/>
  <c r="A20" i="3"/>
  <c r="A21" i="3"/>
  <c r="A22" i="3"/>
  <c r="A23" i="3"/>
  <c r="A25" i="3"/>
  <c r="A10" i="3"/>
  <c r="A9" i="9" l="1"/>
  <c r="D6" i="9"/>
  <c r="B6" i="9"/>
  <c r="E16" i="4" s="1"/>
  <c r="A6" i="9"/>
  <c r="D16" i="4" s="1"/>
  <c r="A9" i="8"/>
  <c r="D6" i="8"/>
  <c r="A6" i="8"/>
  <c r="D12" i="4" s="1"/>
  <c r="A9" i="7"/>
  <c r="D6" i="7"/>
  <c r="B6" i="7"/>
  <c r="E15" i="4" s="1"/>
  <c r="A6" i="7"/>
  <c r="D15" i="4" s="1"/>
  <c r="A9" i="6"/>
  <c r="D6" i="6"/>
  <c r="B6" i="6"/>
  <c r="E14" i="4" s="1"/>
  <c r="A6" i="6"/>
  <c r="D14" i="4" s="1"/>
  <c r="A9" i="5"/>
  <c r="D6" i="5"/>
  <c r="G13" i="4" s="1"/>
  <c r="B6" i="5"/>
  <c r="E13" i="4" s="1"/>
  <c r="A6" i="5"/>
  <c r="D13" i="4" s="1"/>
  <c r="E6" i="9" l="1"/>
  <c r="C6" i="9" s="1"/>
  <c r="F16" i="4" s="1"/>
  <c r="E6" i="6"/>
  <c r="C6" i="6" s="1"/>
  <c r="F14" i="4" s="1"/>
  <c r="E6" i="8"/>
  <c r="H12" i="4" s="1"/>
  <c r="E6" i="7"/>
  <c r="C6" i="7" s="1"/>
  <c r="F15" i="4" s="1"/>
  <c r="E6" i="5"/>
  <c r="C6" i="5" s="1"/>
  <c r="F13" i="4" s="1"/>
  <c r="A9" i="3" l="1"/>
  <c r="D6" i="3"/>
  <c r="G11" i="4" s="1"/>
  <c r="G19" i="4" s="1"/>
  <c r="B6" i="3"/>
  <c r="E11" i="4" s="1"/>
  <c r="E19" i="4" s="1"/>
  <c r="A6" i="3"/>
  <c r="D11" i="4" s="1"/>
  <c r="D19" i="4" s="1"/>
  <c r="E6" i="3" l="1"/>
  <c r="H19" i="4" l="1"/>
  <c r="E22" i="4" s="1"/>
  <c r="C6" i="3"/>
  <c r="F11" i="4" l="1"/>
  <c r="F19" i="4" s="1"/>
  <c r="E2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8" authorId="0" shapeId="0" xr:uid="{5CAB2640-5D59-4947-A404-9889535F7F17}">
      <text>
        <r>
          <rPr>
            <sz val="11"/>
            <color rgb="FF000000"/>
            <rFont val="MS PGothic"/>
            <family val="2"/>
            <scheme val="minor"/>
          </rPr>
          <t>======
ID#AAAAda4EfWc
    (2022-07-26 01:54:17)
Pass
Fail
Untested
N/A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8" authorId="0" shapeId="0" xr:uid="{D1E48736-E329-458F-A166-C11FBBADC1A7}">
      <text>
        <r>
          <rPr>
            <sz val="11"/>
            <color rgb="FF000000"/>
            <rFont val="MS PGothic"/>
            <family val="2"/>
            <scheme val="minor"/>
          </rPr>
          <t>======
ID#AAAAda4EfWc
    (2022-07-26 01:54:17)
Pass
Fail
Untested
N/A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I8" authorId="0" shapeId="0" xr:uid="{507141BF-5930-4373-87E0-688F3AB7A30A}">
      <text>
        <r>
          <rPr>
            <sz val="11"/>
            <color rgb="FF000000"/>
            <rFont val="MS PGothic"/>
            <family val="2"/>
            <scheme val="minor"/>
          </rPr>
          <t>======
ID#AAAAda4EfWc
    (2022-07-26 01:54:17)
Pass
Fail
Untested
N/A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I8" authorId="0" shapeId="0" xr:uid="{6C3DE6CE-802A-48A5-8D74-EA4930158FE5}">
      <text>
        <r>
          <rPr>
            <sz val="11"/>
            <color rgb="FF000000"/>
            <rFont val="MS PGothic"/>
            <family val="2"/>
            <scheme val="minor"/>
          </rPr>
          <t>======
ID#AAAAda4EfWc
    (2022-07-26 01:54:17)
Pass
Fail
Untested
N/A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I8" authorId="0" shapeId="0" xr:uid="{18F48878-B0DC-4C61-B9F2-6F5DE6E2342C}">
      <text>
        <r>
          <rPr>
            <sz val="11"/>
            <color rgb="FF000000"/>
            <rFont val="MS PGothic"/>
            <family val="2"/>
            <scheme val="minor"/>
          </rPr>
          <t>======
ID#AAAAda4EfWc
    (2022-07-26 01:54:17)
Pass
Fail
Untested
N/A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I8" authorId="0" shapeId="0" xr:uid="{C4CAD5F9-54F9-4ADD-A354-2EFEA581E63D}">
      <text>
        <r>
          <rPr>
            <sz val="11"/>
            <color rgb="FF000000"/>
            <rFont val="MS PGothic"/>
            <family val="2"/>
            <scheme val="minor"/>
          </rPr>
          <t>======
ID#AAAAda4EfWc
    (2022-07-26 01:54:17)
Pass
Fail
Untested
N/A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I8" authorId="0" shapeId="0" xr:uid="{F3B1E028-763C-4487-9589-4BB15A09ACA3}">
      <text>
        <r>
          <rPr>
            <sz val="11"/>
            <color rgb="FF000000"/>
            <rFont val="MS PGothic"/>
            <family val="2"/>
            <scheme val="minor"/>
          </rPr>
          <t>======
ID#AAAAda4EfWc
    (2022-07-26 01:54:17)
Pass
Fail
Untested
N/A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I8" authorId="0" shapeId="0" xr:uid="{00000000-0006-0000-0200-000001000000}">
      <text>
        <r>
          <rPr>
            <sz val="11"/>
            <color rgb="FF000000"/>
            <rFont val="MS PGothic"/>
            <family val="2"/>
            <scheme val="minor"/>
          </rPr>
          <t>======
ID#AAAAda4EfWc
    (2022-07-26 01:54:17)
Pass
Fail
Untested
N/A</t>
        </r>
      </text>
    </comment>
  </commentList>
  <extLst>
    <ext xmlns:r="http://schemas.openxmlformats.org/officeDocument/2006/relationships" uri="GoogleSheetsCustomDataVersion1">
      <go:sheetsCustomData xmlns:go="http://customooxmlschemas.google.com/" r:id="rId1" roundtripDataSignature="AMtx7mjQShE5HRX8locuxPYpcmoXA2g+kQ=="/>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MS PGothic"/>
            <family val="2"/>
            <scheme val="minor"/>
          </rPr>
          <t>======
ID#AAAAda4EfWY
    (2022-07-26 01:54:17)
*A: Add
  M: Modify
  D: Delete</t>
        </r>
      </text>
    </comment>
  </commentList>
  <extLst>
    <ext xmlns:r="http://schemas.openxmlformats.org/officeDocument/2006/relationships" uri="GoogleSheetsCustomDataVersion1">
      <go:sheetsCustomData xmlns:go="http://customooxmlschemas.google.com/" r:id="rId1" roundtripDataSignature="AMtx7mgDTkjFxo9vwN+5PqPnpTeVowkJ/g=="/>
    </ext>
  </extLst>
</comments>
</file>

<file path=xl/sharedStrings.xml><?xml version="1.0" encoding="utf-8"?>
<sst xmlns="http://schemas.openxmlformats.org/spreadsheetml/2006/main" count="1373" uniqueCount="698">
  <si>
    <t>Logo</t>
  </si>
  <si>
    <t>TEST CASE</t>
  </si>
  <si>
    <t>Project Name</t>
  </si>
  <si>
    <t>Creator</t>
  </si>
  <si>
    <t>Project Code</t>
  </si>
  <si>
    <t>Reviewer/Approver</t>
  </si>
  <si>
    <t>Document Code</t>
  </si>
  <si>
    <t>Issue Date</t>
  </si>
  <si>
    <t>Version</t>
  </si>
  <si>
    <t>1.1</t>
  </si>
  <si>
    <t>Record of change</t>
  </si>
  <si>
    <t>Effective Date</t>
  </si>
  <si>
    <t>Change Item</t>
  </si>
  <si>
    <t>*A,D,M</t>
  </si>
  <si>
    <t>Change description</t>
  </si>
  <si>
    <t>Reference</t>
  </si>
  <si>
    <t>1.0</t>
  </si>
  <si>
    <t>A</t>
  </si>
  <si>
    <t>Tạo mới file</t>
  </si>
  <si>
    <t>&lt;List of documents which are referred in this version.&gt;</t>
  </si>
  <si>
    <t>30/7/2021</t>
  </si>
  <si>
    <t>M</t>
  </si>
  <si>
    <t>Update ...</t>
  </si>
  <si>
    <t>TEST CASE LIST</t>
  </si>
  <si>
    <t>Test Environment Setup Description</t>
  </si>
  <si>
    <t>No</t>
  </si>
  <si>
    <t>Function Name</t>
  </si>
  <si>
    <t>Sheet Name</t>
  </si>
  <si>
    <t>Description</t>
  </si>
  <si>
    <t>Pre-Condition</t>
  </si>
  <si>
    <t>Login</t>
  </si>
  <si>
    <t>Module Code</t>
  </si>
  <si>
    <t>Pass</t>
  </si>
  <si>
    <t>Test requirement</t>
  </si>
  <si>
    <t>Fail</t>
  </si>
  <si>
    <t>Tester</t>
  </si>
  <si>
    <t>Untested</t>
  </si>
  <si>
    <t>N/A</t>
  </si>
  <si>
    <t>Number of Test cases</t>
  </si>
  <si>
    <t>Untesed</t>
  </si>
  <si>
    <t>ID</t>
  </si>
  <si>
    <t>Group Name</t>
  </si>
  <si>
    <t>Sub Group Name</t>
  </si>
  <si>
    <t>Test Case Description</t>
  </si>
  <si>
    <t>Precondition</t>
  </si>
  <si>
    <t>Test Case Procedure</t>
  </si>
  <si>
    <t>Test data</t>
  </si>
  <si>
    <t>Expected Output</t>
  </si>
  <si>
    <t>Result</t>
  </si>
  <si>
    <t>Test date</t>
  </si>
  <si>
    <t>Note</t>
  </si>
  <si>
    <t>TEST REPORT</t>
  </si>
  <si>
    <t>Notes</t>
  </si>
  <si>
    <t>Module code</t>
  </si>
  <si>
    <t>Number of  test cases</t>
  </si>
  <si>
    <t>Sub total</t>
  </si>
  <si>
    <t>Test coverage</t>
  </si>
  <si>
    <t>%</t>
  </si>
  <si>
    <t>Test successful coverage</t>
  </si>
  <si>
    <t>Access right</t>
  </si>
  <si>
    <t>UI</t>
  </si>
  <si>
    <t>Validation</t>
  </si>
  <si>
    <t>Biz</t>
  </si>
  <si>
    <t>Email</t>
  </si>
  <si>
    <t>Kiểm tra số lượng các items</t>
  </si>
  <si>
    <t>1. View màn hình
2. So sánh với design</t>
  </si>
  <si>
    <t>Đăng nhập</t>
  </si>
  <si>
    <t>Kiểm tra vị trí, font chữ, size chữ, màu sắc</t>
  </si>
  <si>
    <t>Kiểm tra trạng thái</t>
  </si>
  <si>
    <t>Kiểm tra giá trị default</t>
  </si>
  <si>
    <t>Kiểm tra khách hàng email hợp lệ</t>
  </si>
  <si>
    <t>Kiểm tra khách hàng đăng nhập thành công vào website</t>
  </si>
  <si>
    <t>Tìm kiếm</t>
  </si>
  <si>
    <t>Bỏ trống thanh tìm kiếm</t>
  </si>
  <si>
    <t>Kiểm tra khách hàng nhập từ khóa chứa kí tự đặc biệt</t>
  </si>
  <si>
    <t>Kiểm tra khách hàng nhập từ khóa là chữ +  số</t>
  </si>
  <si>
    <t>Kiểm tra khách hàng nhập từ khóa là chữ + kí tự đặc biệt</t>
  </si>
  <si>
    <t>Kiểm tra khách hàng nhập từ khóa là số + kí tự đặc biệt</t>
  </si>
  <si>
    <t>Kiểm tra khách hàng nhập từ khóa là chữ thường + in hoa</t>
  </si>
  <si>
    <t>Kiểm tra khách hàng nhập từ khóa là chữ in hoa</t>
  </si>
  <si>
    <t>Họ tên</t>
  </si>
  <si>
    <t xml:space="preserve">Bỏ trống </t>
  </si>
  <si>
    <t>Kiểm tra khách hàng nhập họ tên là chữ thường</t>
  </si>
  <si>
    <t>Kiểm tra khách hàng nhập họ tên là chữ in hoa</t>
  </si>
  <si>
    <t>Kiểm tra khách hàng nhập họ tên là chữ thường + in hoa</t>
  </si>
  <si>
    <t>Kiểm tra khách hàng nhập họ tên là số</t>
  </si>
  <si>
    <t>Kiểm tra khách hàng nhập họ tên là kí tự đặc biệt</t>
  </si>
  <si>
    <t>Kiểm tra khách hàng nhập họ tên là chữ thường + kí tự đặc biệt</t>
  </si>
  <si>
    <t>Kiểm tra khách hàng nhập họ tên là chữ thường + số</t>
  </si>
  <si>
    <t>Kiểm tra khách hàng nhập họ tên chứa khoảng trắng</t>
  </si>
  <si>
    <t>Số điện thoại</t>
  </si>
  <si>
    <t>Kiểm tra khách hàng nhập số điện thoại là chữ/kí tự đặc biệt</t>
  </si>
  <si>
    <t>Kiểm tra khách hàng nhập số điện thoại có khoảng trắng</t>
  </si>
  <si>
    <t>Kiểm tra khách hàng nhập số điện thoại =10 kí tự</t>
  </si>
  <si>
    <t>Kiểm tra khách hàng nhập số điện thoại &gt; 10 kí tự</t>
  </si>
  <si>
    <t xml:space="preserve">Kiểm tra khách hàng nhập số điện thoại &lt;10 kí tự </t>
  </si>
  <si>
    <t>Tài khoản</t>
  </si>
  <si>
    <t>Địa chỉ</t>
  </si>
  <si>
    <t>Ngày sinh</t>
  </si>
  <si>
    <t>Kiểm tra khách hàng nhập ngày sinh hợp lệ</t>
  </si>
  <si>
    <t>Mật khẩu</t>
  </si>
  <si>
    <t>Xác nhận mật khẩu</t>
  </si>
  <si>
    <t>Button Đăng ký</t>
  </si>
  <si>
    <t>Đăng ký tài khoản</t>
  </si>
  <si>
    <t>Kiểm tra khách hàng đặt hàng khi chưa đăng nhập</t>
  </si>
  <si>
    <t>Đặt hàng</t>
  </si>
  <si>
    <t>Kiểm tra khách hàng đặt hàng khi giỏ hàng rỗng</t>
  </si>
  <si>
    <t>Bỏ trống tài khoản</t>
  </si>
  <si>
    <t xml:space="preserve">Kiểm tra khách hàng nhập sai tài khoản </t>
  </si>
  <si>
    <t>Kiểm tra khách hàng nhập tài khoản không tồn tại</t>
  </si>
  <si>
    <t>Khách hàng đang ở form đăng nhập</t>
  </si>
  <si>
    <t>Kiểm tra khách hàng nhập tài khoản hợp lệ</t>
  </si>
  <si>
    <t>Kiểm tra khách hàng tìm kiếm khi chưa đăng nhập</t>
  </si>
  <si>
    <t>Kiểm tra khách hàng tìm kiếm khi đã đăng nhập</t>
  </si>
  <si>
    <t>Kiểm tra khách hàng nhập từ khóa có 1 kí tự</t>
  </si>
  <si>
    <t>Kiểm tra khách hàng xem danh mục sản phẩm khi chưa đăng nhập</t>
  </si>
  <si>
    <t>Kiểm tra khách hàng xem danh mục khi đã đăng nhập</t>
  </si>
  <si>
    <t>Xem danh mục</t>
  </si>
  <si>
    <t>Danh mục rỗng</t>
  </si>
  <si>
    <t>Có ít nhất 1 danh mục</t>
  </si>
  <si>
    <t>Kiểm tra khách hàng xem chi tiết sản phẩm khi chưa đăng nhập</t>
  </si>
  <si>
    <t>Kiểm tra khách hàng xem chi tiết khi đã đăng nhập</t>
  </si>
  <si>
    <t>Chưa đăng nhập</t>
  </si>
  <si>
    <t>Đã đăng nhập</t>
  </si>
  <si>
    <t>Xem chi tiết sản phẩm</t>
  </si>
  <si>
    <t>Tồn tại sản phẩm và sản phẩm còn hàng</t>
  </si>
  <si>
    <t>Lỗi DB</t>
  </si>
  <si>
    <t>Kiểm tra khách hàng nhập mật khẩu không khớp xác nhận</t>
  </si>
  <si>
    <t xml:space="preserve">Kiểm tra khách hàng đăng kí tài khoản thành công </t>
  </si>
  <si>
    <t>Kiểm tra khách hàng đăng kí tài khoản thất bại  do tài khoản đã tồn tài trong CSDL</t>
  </si>
  <si>
    <t>Kiểm tra khách hàng thay đổi thông tin nhận hàng trước khi đặt</t>
  </si>
  <si>
    <t>Button Đặt hàng</t>
  </si>
  <si>
    <t>Kiểm tra số lượng tồn kho (số lượng đặt &gt; số lượng tồn kho)</t>
  </si>
  <si>
    <t>Xóa sản phẩm</t>
  </si>
  <si>
    <t>Kiểm tra khách hàng xóa 1 sản phẩm trong giỏ hàng</t>
  </si>
  <si>
    <t>Kiểm tra khách hàng xóa nhiều sản phẩm trong giỏ hàng</t>
  </si>
  <si>
    <t>Kiểm tra khách hàng xóa tất cả sản phẩm trong giỏ hàng</t>
  </si>
  <si>
    <t>Tiếp tục mua sắm</t>
  </si>
  <si>
    <t>Kiểm tra màn hình quay trở về trang chủ thành công</t>
  </si>
  <si>
    <t>Thông tin nhận hàng</t>
  </si>
  <si>
    <t xml:space="preserve">Kiểm tra khách hàng không thay đổi thông tin trước khi đặt hàng </t>
  </si>
  <si>
    <t>Kiểm tra khách hàng nhập số lượng = 0</t>
  </si>
  <si>
    <t>Kiểm tra khách hàng nhập số lượng là số âm</t>
  </si>
  <si>
    <t>Kiểm tra khách hàng nhập số lượng sản phẩm là số thực</t>
  </si>
  <si>
    <t>Kiểm tra khách hàng nhập số lượng là chữ</t>
  </si>
  <si>
    <t>Kiểm tra khách hàng nhập số lượng là kí tự đặc biệt</t>
  </si>
  <si>
    <t>Kiểm tra khách hàng bỏ trống trường số lượng</t>
  </si>
  <si>
    <t>Kiểm tra khách hàng đặt hàng thành công</t>
  </si>
  <si>
    <t>Lõi DB khi đặt hàng</t>
  </si>
  <si>
    <t>1. Mở trang chủ
2. Click vào Tài khoản
3. Click vào Đăng ký</t>
  </si>
  <si>
    <t xml:space="preserve">1. Hiển thị lên màn hình form đăng ký </t>
  </si>
  <si>
    <t>1. Mở trang chủ
2. Đăng nhập tài khoản
3. Cố truy cập trang đăng ký</t>
  </si>
  <si>
    <t>1. Số lượng các item trên màn hình như sau:
- text box: Họ và tên, Số điện thoại, Địa chỉ, Giới tính, Email, Tài khoản, Mật khẩu, Xác nhận mật khẩu 
- button: Đăng ký
- radio: Nam, Nữ</t>
  </si>
  <si>
    <t>1. Kiểm tra vị trí, font chữ, size chữ, màu sắc</t>
  </si>
  <si>
    <t>1. Hiển thị đúng theo design</t>
  </si>
  <si>
    <t>1. Kiểm tra trạng thái các items</t>
  </si>
  <si>
    <t>1. Kiểm tra các giá trị  default</t>
  </si>
  <si>
    <t>1. Bỏ trống trường họ tên
2. Các trường còn lại nhập hợp lệ
3. Click button Đăng ký</t>
  </si>
  <si>
    <t>Hệ thống hiển thị thông báo : "Vui lòng nhập thông tin vào đây"</t>
  </si>
  <si>
    <t>1. Nhập họ tên có cả chữ và số
2. Các trường còn lại nhập hợp lệ
3. Click button Đăng ký</t>
  </si>
  <si>
    <t>1. Nhập họ tên có cả chữ và kí tự đặc biệt
2. Các trường còn lại nhập hợp lệ
3. Click button Đăng ký</t>
  </si>
  <si>
    <t>1. Nhập họ tên chứa khoảng trắng
2. Các trường còn lại nhập hợp lệ
3. Click button Đăng ký</t>
  </si>
  <si>
    <t>1. Bỏ trống trường số điện thoại
2. Các trường khác nhập giá trị hợp lệ
3. Click button Đăng ký</t>
  </si>
  <si>
    <t>Số điện thoại: &lt;trống&gt;</t>
  </si>
  <si>
    <t>1. Nhập số điện thoại là chữ/ kí tự đặc biệt
2. Các trường khác nhập giá trị hợp lệ
3. Click button Đăng ký</t>
  </si>
  <si>
    <t>1. Nhập số điện thoại chứa khoảng trắng
2. Các trường khác nhập giá trị hợp lệ
3. Click button Đăng ký</t>
  </si>
  <si>
    <t>Số điện thoại: 0123456789</t>
  </si>
  <si>
    <t>Số điện thoại: 0123 456 789</t>
  </si>
  <si>
    <t>1. Nhập số điện thoại có 9 kí tự
2. Các trường khác nhập giá trị hợp lệ
3. Click button Đăng ký</t>
  </si>
  <si>
    <t>Số điện thoại: 012345678</t>
  </si>
  <si>
    <t>1. Nhập số điện thoại có 10 kí tự
2. Các trường khác nhập giá trị hợp lệ
3. Click button Đăng ký</t>
  </si>
  <si>
    <t>1. Nhập số điện thoại có 11 kí tự
2. Các trường khác nhập giá trị hợp lệ
3. Click button Đăng ký</t>
  </si>
  <si>
    <t>Số điện thoại: 01234567899</t>
  </si>
  <si>
    <t>1. Bỏ trống trường Email
2. Các trường khác nhập giá trị hợp lệ
3. Click button Đăng ký</t>
  </si>
  <si>
    <t>Email: &lt;trống&gt;</t>
  </si>
  <si>
    <t>Mật khẩu: &lt;trống&gt;</t>
  </si>
  <si>
    <t>1. Nhập email hợp lệ
2. Các trường khác nhập giá trị hợp lệ
3. Click button Đăng ký</t>
  </si>
  <si>
    <t>Email: hong@gmail.com</t>
  </si>
  <si>
    <t>1. Bỏ trống trường mật khẩu
2. Các trường khác nhập giá trị hợp lệ
3. Click button Đăng ký</t>
  </si>
  <si>
    <t>Kiểm tra khách hàng nhập mật khẩu hợp lệ</t>
  </si>
  <si>
    <t>Mật khẩu: 123456</t>
  </si>
  <si>
    <t>1. Nhập mật khẩu và xác nhận mật khẩu khác nhau
2. Các trượng khác nhập giá trị hợp lệ
3. Click button Đăng ký</t>
  </si>
  <si>
    <t>Mật khẩu: 123456
Xác nhận mật khẩu: 1234567</t>
  </si>
  <si>
    <t>1. Bỏ trống trường xác nhận mật khẩu
2. Các trượng khác nhập giá trị hợp lệ
3. Click button Đăng ký</t>
  </si>
  <si>
    <t>Mật khẩu: 123456
Xác nhận mật khẩu: &lt;trống&gt;</t>
  </si>
  <si>
    <t>Kiểm tra khách hàng đăng kí tài khoản thất bại  do email đã tồn tại trong CSDL</t>
  </si>
  <si>
    <t>1. Bỏ trống trường tài khoản
2. Các trường khác nhập giá trị hợp lệ
3. Click button Đăng ký</t>
  </si>
  <si>
    <t>Tài khoản: bỏ trống</t>
  </si>
  <si>
    <t>1. Nhập tài khoản là chữ thường 
2. Các trường khác nhập giá trị hợp lệ
3. Click button Đăng ký</t>
  </si>
  <si>
    <t>Tài khoản: vũ hồng</t>
  </si>
  <si>
    <t>1. Nhập tài khoản là chữ in hoa
2. Các trường khác nhập giá trị hợp lệ
3. Click button Đăng ký</t>
  </si>
  <si>
    <t>Tài khoản: VŨ HỒNG</t>
  </si>
  <si>
    <t>1. Nhập tài khoản là chữ thường+ in hoa
2. Các trường khác nhập giá trị hợp lệ
3. Click button Đăng ký</t>
  </si>
  <si>
    <t>Tài khoản: vŨ HồNg</t>
  </si>
  <si>
    <t>Kiểm tra khách hàng nhập tài khoản là chữ thường</t>
  </si>
  <si>
    <t>Kiểm tra khách hàng nhập tài khoản là chữ in hoa</t>
  </si>
  <si>
    <t>Kiểm tra khách hàng nhập tài khoản là chữ thường + in hoa</t>
  </si>
  <si>
    <t>Kiểm tra khách hàng nhập tài khoản là số</t>
  </si>
  <si>
    <t>Kiểm tra khách hàng nhập tài khoản là kí tự đặc biệt</t>
  </si>
  <si>
    <t>Kiểm tra khách hàng nhập tài khoản là chữ thường + số</t>
  </si>
  <si>
    <t>Kiểm tra khách hàng nhập tài khoản là chữ thường + kí tự đặc biệt</t>
  </si>
  <si>
    <t>Kiểm tra khách hàng nhập tài khoản chứa khoảng trắng</t>
  </si>
  <si>
    <t>1. Nhập tài khoản là các số
2. Các trường khác nhập giá trị hợp lệ
3. Click button Đăng ký</t>
  </si>
  <si>
    <t>Tài khoản: 123</t>
  </si>
  <si>
    <t>1. Nhập tài khoản là các kí tự đặc biệt
2. Các trường khác nhập giá trị hợp lệ
3. Click button Đăng ký</t>
  </si>
  <si>
    <t>Tài khoản: !"£</t>
  </si>
  <si>
    <t>1. Nhập tài khoản gồm chữ thường và số
2. Các trường khác nhập giá trị hợp lệ
3. Click button Đăng ký</t>
  </si>
  <si>
    <t>Tài khoản: hồng25</t>
  </si>
  <si>
    <t>1. Nhập tài khoản gồm chữ thường và kí tự đặc biệt
2. Các trường khác nhập giá trị hợp lệ
3. Click button Đăng ký</t>
  </si>
  <si>
    <t>Tài khoản: hồng@!</t>
  </si>
  <si>
    <t>1. Nhập tài khoản có khoảng trắng ở đầu
2. Các trường khác nhập giá trị hợp lệ
3. Click button Đăng ký</t>
  </si>
  <si>
    <t>Tài khoản: &lt;khoảng trắng&gt; hồng</t>
  </si>
  <si>
    <t>1. Bỏ trống trường địa chỉ
2. Các trường khác nhập giá trị hợp lệ
3. Click button Đăng ký</t>
  </si>
  <si>
    <t>Địa chỉ: bỏ trống</t>
  </si>
  <si>
    <t>Kiểm tra khách hàng nhập địa chỉ là chữ thường</t>
  </si>
  <si>
    <t>Kiểm tra khách hàng nhập địa chỉ là chữ in hoa</t>
  </si>
  <si>
    <t>Kiểm tra khách hàng nhập địa chỉ là chữ thường + in hoa</t>
  </si>
  <si>
    <t>Kiểm tra khách hàng nhập địa chỉ là số</t>
  </si>
  <si>
    <t>Kiểm tra khách hàng nhập địa chỉ là kí tự đặc biệt</t>
  </si>
  <si>
    <t>Kiểm tra khách hàng nhập địa chỉ là chữ thường + số</t>
  </si>
  <si>
    <t>Kiểm tra khách hàng nhập địa chỉ là chữ thường + kí tự đặc biệt</t>
  </si>
  <si>
    <t>1. Nhập địa chỉ là chữ thường
2. Các trường khác nhập giá trị hợp lệ
3. Click button Đăng ký</t>
  </si>
  <si>
    <t>1. Nhập địa chỉ là chữ in hoa
2. Các trường khác nhập giá trị hợp lệ
3. Click button Đăng ký</t>
  </si>
  <si>
    <t>1. Nhập địa chỉ là chữ thường + in hoa
2. Các trường khác nhập giá trị hợp lệ
3. Click button Đăng ký</t>
  </si>
  <si>
    <t>Địa chỉ: bẮc ninh</t>
  </si>
  <si>
    <t>Địa chỉ: Mão Điền Bắc Ninh</t>
  </si>
  <si>
    <t>Địa chỉ: MÃO ĐIỀN BẮC NINH</t>
  </si>
  <si>
    <t>1. Nhập địa chỉ là số
2. Các trường khác nhập giá trị hợp lệ
3. Click button Đăng ký</t>
  </si>
  <si>
    <t>Địa chỉ: 123</t>
  </si>
  <si>
    <t>1. Nhập địa chỉ là các kí tự đặc biệt
2. Các trường khác nhập giá trị hợp lệ
3. Click button Đăng ký</t>
  </si>
  <si>
    <t>Địa chỉ: @@#</t>
  </si>
  <si>
    <t>1. Nhập địa chỉ là chữ thường và số
2. Các trường khác nhập giá trị hợp lệ
3. Click button Đăng ký</t>
  </si>
  <si>
    <t>Địa chỉ: 3 xóm 3 Mão Điền</t>
  </si>
  <si>
    <t>1. Nhập địa chỉ là chữ thường và kí tự đặc biệt
2. Các trường khác nhập giá trị hợp lệ
3. Click button Đăng ký</t>
  </si>
  <si>
    <t>Địa chỉ: 3 xóm 3 - Mão Điền - Bắc Ninh</t>
  </si>
  <si>
    <t>1. Bỏ trống trường ngày sinh
2. Các trường khác nhập giá trị hợp lệ
3. Click button Đăng ký</t>
  </si>
  <si>
    <t>Ngày sinh: bỏ trống</t>
  </si>
  <si>
    <t>1. Nhập tài khoản đã đăng kí 
2. Nhập các giá trị hợp lệ với các trường còn lại
3. Click button Đăng ký</t>
  </si>
  <si>
    <t>1. Nhập các trường thông tin với các giá trị hợp lệ
2. Click button Đăng ký</t>
  </si>
  <si>
    <t>1. Nhập email đã đăng kí
2. Nhập các giá trị hợp lệ với các trường còn lại
3. Click button Đăng ký</t>
  </si>
  <si>
    <t>Khách hàng đang ở form đăng ký</t>
  </si>
  <si>
    <t>Họ tên: Hồng
Số điện thoại: 0123654789
Địa chỉ: Mão Điền
Ghi chú: Che tên sản phẩm</t>
  </si>
  <si>
    <t>Số lượng =0</t>
  </si>
  <si>
    <t>Số lượng = -1</t>
  </si>
  <si>
    <t>Số lượng = 1.5</t>
  </si>
  <si>
    <t>Số lượng = a</t>
  </si>
  <si>
    <t>Số lượng = !</t>
  </si>
  <si>
    <t>Số lượng = bỏ trống</t>
  </si>
  <si>
    <t>Số lượng = 2</t>
  </si>
  <si>
    <t>Khách hàng đã đăng nhập và đang ở giỏ hàng, tồn tại ít nhất 1 sản phẩm trong giỏ hàng</t>
  </si>
  <si>
    <t xml:space="preserve">1. Click button Đặt hàng
</t>
  </si>
  <si>
    <t>1. Nhập số lượng đặt &gt; số lượng tồn kho
2. Click button Cập nhật giỏ hàng</t>
  </si>
  <si>
    <t>Số lượng đặt: 100</t>
  </si>
  <si>
    <t>1. Click button Tiếp tục mua sắm</t>
  </si>
  <si>
    <t>1. Mở trang chủ
2. Click vào 1 sản phẩm bất kì</t>
  </si>
  <si>
    <t>1. Click vào 1 sản phẩm bất kì</t>
  </si>
  <si>
    <t>Tồn tài sản phẩm và số lượng =0</t>
  </si>
  <si>
    <t>Sản phẩm: Áo phông nữ in họa tiết</t>
  </si>
  <si>
    <t>Xem danh mục sản phẩm</t>
  </si>
  <si>
    <t>1. Mở trang chủ
2. Click Sản phẩm trên menu</t>
  </si>
  <si>
    <t>Kiểm tra khách hàng tìm kiếm khi ấn enter</t>
  </si>
  <si>
    <t>Kiểm tra khách hàng nhập từ khóa không dấu</t>
  </si>
  <si>
    <t>Kiểm tra khách hàng tìm kiếm sản phẩm với tên sản phẩm không tồn tại</t>
  </si>
  <si>
    <t>Kiểm tra khách hàng tìm kiếm sản phẩm với sản phẩm đã hết hàng</t>
  </si>
  <si>
    <t>Kiểm tra khách hàng tìm kiếm với tên sản phẩm viết sai chính tả</t>
  </si>
  <si>
    <t>Kiểm tra khách hàng tìm kiếm sản phẩm có khoảng trắng ở đầu/ cuối</t>
  </si>
  <si>
    <t>Kiểm tra khách hàng tìm kiếm sản phẩm với tên trùng lặp</t>
  </si>
  <si>
    <t>Kiểm tra khách hàng tìm kiếm sản phẩm thành công với tên sản phẩm tồn tài trong DB</t>
  </si>
  <si>
    <t>Khách hàng đang ở ô tìm kiếm</t>
  </si>
  <si>
    <t xml:space="preserve">Tồn tài 2 sản phẩm cùng tên
Khách hàng đang ở ô tìm kiếm
</t>
  </si>
  <si>
    <t>1. Bỏ trống 
2. Click button Tìm kiếm</t>
  </si>
  <si>
    <t>1. Nhập từ khóa chứa kí tự đặc biệt
2. Click buttin Tìm kiếm</t>
  </si>
  <si>
    <t>Tìm kiếm: @@@</t>
  </si>
  <si>
    <t>1. Nhập từ khóa chứa số
2. Click buttin Tìm kiếm</t>
  </si>
  <si>
    <t xml:space="preserve">Tìm kiếm: 123
</t>
  </si>
  <si>
    <t>1. Nhập từ khóa chứa chữ và số
2. Click button Tìm kiếm</t>
  </si>
  <si>
    <t xml:space="preserve">Tìm kiếm: Áo12
</t>
  </si>
  <si>
    <t>1. Nhập từ khóa chứa chữ và kí tự đặc biệt
2. Click button Tìm kiếm</t>
  </si>
  <si>
    <t xml:space="preserve">Tìm kiếm: Áo@@@
</t>
  </si>
  <si>
    <t>1. Nhập từ khóa chứa số và kí tự đặc biệt
2. Click button Tìm kiếm</t>
  </si>
  <si>
    <t xml:space="preserve">Tìm kiếm: 12@
</t>
  </si>
  <si>
    <t>1. Nhập từ khóa chứa chữ thường và chữ in hoa
2. Click button Tìm kiếm</t>
  </si>
  <si>
    <t>Tìm kiếm: áO</t>
  </si>
  <si>
    <t>1. Nhập từ khóa chứa chữ in hoa
2. Click button Tìm kiếm</t>
  </si>
  <si>
    <t>Tìm kiếm: ÁO</t>
  </si>
  <si>
    <t>1. Nhập từ khóa trùng tên
2. Click button Tìm kiếm</t>
  </si>
  <si>
    <t>1. Nhập từ khóa là 1 kí tự
2. Click button Tìm kiếm</t>
  </si>
  <si>
    <t>Tìm kiếm: a</t>
  </si>
  <si>
    <t>1. Nhập từ khóa bất kì
2. Nhấn enter</t>
  </si>
  <si>
    <t>Tìm kiếm: Áo sơ mi</t>
  </si>
  <si>
    <t>1. Nhập từ khóa bất kì không dấu
2. Click button Tìm kiếm</t>
  </si>
  <si>
    <t>Tìm kiếm: Ao ba lo</t>
  </si>
  <si>
    <t>1. Nhập từ khóa bất kì nhưng viết sai chính tả
2. Click button Tìm kiếm</t>
  </si>
  <si>
    <t>Tìm kiếm: Áo thun lam</t>
  </si>
  <si>
    <t>1. Nhập từ khóa có chứa khoảng trắng ở đầu/cuối
2. Click button Tìm kiếm</t>
  </si>
  <si>
    <t>Tìm kiếm: ' Áo sơ mi '</t>
  </si>
  <si>
    <t>1. Nhập từ khóa tồn tại trong DB
2. Click button Tìm kiếm</t>
  </si>
  <si>
    <t>Tìm kiếm: Áo sơ mi nam trơn</t>
  </si>
  <si>
    <t>1. Nhập 1 tên sản phầm đang hết hàng
2. Click button Tìm kiếm</t>
  </si>
  <si>
    <t>1. Nhập 1 tên sản phầm không tồn tại trong DB
2. Click button Tìm kiếm</t>
  </si>
  <si>
    <t>Tìm kiếm: Áo dài</t>
  </si>
  <si>
    <t>Khách hàng đang ở ô tìm kiếm
DB đang bị lỗi</t>
  </si>
  <si>
    <t>1. Mở trang chủ
2. Nhập tên sản phẩm muốn tìm kiếm
3. Click button Tìm kiếm</t>
  </si>
  <si>
    <t>1. Kiểm tra các giá trị default</t>
  </si>
  <si>
    <t>Các text box đều hiển thị trắng</t>
  </si>
  <si>
    <t>Các item đều ở trạng thái enable</t>
  </si>
  <si>
    <t>Hiển thị đúng theo design</t>
  </si>
  <si>
    <t>1. Số lượng các item trên màn hình như sau:
- text box: Tài khoản, Mật khẩu
- button: Đăng nhập</t>
  </si>
  <si>
    <t>1. Bỏ trống tài khoản
2. Nhập mật khẩu hợp lệ
3. Click button Đăng nhập</t>
  </si>
  <si>
    <t>1. Nhập tài khoản sai chính tả
2. Nhập mật khẩu hợp lệ
3. Click button Đăng nhập</t>
  </si>
  <si>
    <t>1. Nhập tài khoản tồn tại trong DB
2. Nhập mật khẩu hợp lệ
3. Click button Đăng nhập</t>
  </si>
  <si>
    <t>Bỏ trống mật khẩu</t>
  </si>
  <si>
    <t xml:space="preserve">Kiểm tra khách hàng nhập sai mật khẩu </t>
  </si>
  <si>
    <t>1. Bỏ trống mật khẩu
2. Nhập mật tài khoản hợp lệ
3. Click button Đăng nhập</t>
  </si>
  <si>
    <t>Button Đăng nhập</t>
  </si>
  <si>
    <t>Mật khẩu: 123</t>
  </si>
  <si>
    <t xml:space="preserve">Tài khoản: test_1
</t>
  </si>
  <si>
    <t xml:space="preserve">Tài khoản: haha
</t>
  </si>
  <si>
    <t xml:space="preserve">Tài khoản: tets_1
</t>
  </si>
  <si>
    <t xml:space="preserve">Mật khẩu: </t>
  </si>
  <si>
    <t>1. Nhập tài khoản hợp lệ
2. Nhập mật khẩu hợp lệ
3. Click button Đăng nhập</t>
  </si>
  <si>
    <t>1. Hiển thị theo đúng design</t>
  </si>
  <si>
    <t>1. Các item đều ở trạng thái enable</t>
  </si>
  <si>
    <t>1. Các text box đều hiển thị trắng</t>
  </si>
  <si>
    <t>Tìm kiếm: trống</t>
  </si>
  <si>
    <t>Tồn tại sản phẩm và sản phẩm còn hàng
DB đang lỗi</t>
  </si>
  <si>
    <t>Sản phẩm: Áo sơ mi</t>
  </si>
  <si>
    <t>Kiểm tra khách hàng xem chi tiết sản phẩm khi click vào sản phẩm hết hàng</t>
  </si>
  <si>
    <t>Kiểm tra khách hàng xem chi tiết sản phẩm khi click vào sản phẩm còn hàng</t>
  </si>
  <si>
    <t>Hệ thống hiển thị thông báo "Lỗi hệ thống"</t>
  </si>
  <si>
    <t>1. Hiển thị thông tin chi tiết sản phẩm lên màn hình
2. Dữ liệu hiển thị đúng như trong DB</t>
  </si>
  <si>
    <t>1. Vào trang chủ
2. Click Tài khoản trên thanh menu
3. Chọn Đăng nhập</t>
  </si>
  <si>
    <t>1. Hệ thống sẽ đi đến màn hình trang chủ</t>
  </si>
  <si>
    <t>Hệ thống hiển thị thông báo "Không tìm thấy sản phẩm nào"</t>
  </si>
  <si>
    <t>Các giá trị default hiển thị theo đúng trong DB</t>
  </si>
  <si>
    <t>Hiển thị thông báo "Lỗi hệ thống"</t>
  </si>
  <si>
    <t>1. Hệ thống hiển thị danh mục đang có lên màn hình
2. Các thông tin hiện thị đúng như trong DB</t>
  </si>
  <si>
    <t>Các giá trị default hiển thị theo đúng như trong DB</t>
  </si>
  <si>
    <t>Các items đều ở trạng thái enable</t>
  </si>
  <si>
    <t>Hệ thống chuyển đến màn hình trang chủ</t>
  </si>
  <si>
    <t>Hệ thống hiển thị thông báo "Mật khẩu không khớp"</t>
  </si>
  <si>
    <t>1. Nhập mật khẩu hợp lệ &gt; 6 kí tự
2. Các trường khác nhập giá trị hợp lệ
3. Click button Đăng ký</t>
  </si>
  <si>
    <t>Các items hiển thị đúng như trong DB</t>
  </si>
  <si>
    <t>Họ tên: Thử
Số điện thoại: 0123654789
Địa chỉ: Mão Điền
Ghi chú: Che tên sản phẩm</t>
  </si>
  <si>
    <t>1. Click button Đặt hàng</t>
  </si>
  <si>
    <t>Kiểm tra khách hàng xem giỏ hàng khi chưa đăng nhập</t>
  </si>
  <si>
    <t xml:space="preserve">1. Mở trang chủ
2. Click vào giỏ hàng
</t>
  </si>
  <si>
    <t>1. Số lượng các item trên màn hình như sau:
- text box: Họ tên, Số điện thoại, Địa chỉ, Ghi chú
- button: Đặt hàng</t>
  </si>
  <si>
    <t>1. Số lượng các item trên màn hình như sau:
- button: Đặt hàng, CẬP NHẬT GIỎ HÀNG, TIẾP TỤC MUA SẮM</t>
  </si>
  <si>
    <t>1. Nhấn dấu x ở bên phải sản phẩm
2. Click button OK khi có popup xác nhận</t>
  </si>
  <si>
    <t>Sửa số lượng</t>
  </si>
  <si>
    <t>Kiểm tra khách hàng tăng số lượng sản phẩm khi click +</t>
  </si>
  <si>
    <t>Kiểm tra khách hàng giảm số lượng sản phẩm khi click -</t>
  </si>
  <si>
    <t>Kiểm tra khách hàng giảm số lượng sản phẩm khi số lượng =1</t>
  </si>
  <si>
    <t>Button Cập nhật giỏ hàng</t>
  </si>
  <si>
    <t>1. Nhấn mũi tên lên xuống hoặc nhập số lượng =0
2. Click button Cập nhật giỏ hàng</t>
  </si>
  <si>
    <t>1. Nhấn mũi tên lên xuống hoặc nhập số lượng là số âm
2. Click button Cập nhật giỏ hàng</t>
  </si>
  <si>
    <t>1. Nhấn mũi tên lên xuống hoặc nhập số lượng là số thực
2. Click button Cập nhật giỏ hàng</t>
  </si>
  <si>
    <t>1. Nhấn mũi tên lên xuống hoặc nhập số lượng là chữ
2. Click button Cập nhật giỏ hàng</t>
  </si>
  <si>
    <t>1. Nhấn mũi tên lên xuống hoặc nhập số lượng là kí tự đặc biệt
2. Click button Cập nhật giỏ hàng</t>
  </si>
  <si>
    <t>1. Xóa ô số lượng 
2. Click button Cập nhật giỏ hàng</t>
  </si>
  <si>
    <t>1. Nhấn mũi tên lên xuống hoặc nhập số lượng là số hợp lệ
2. Click button Cập nhật giỏ hàng</t>
  </si>
  <si>
    <t>Kiểm tra khách hàng nhập số lượng hợp lệ (số nguyên dương)</t>
  </si>
  <si>
    <t>Số lượng hiện tại: 1
Số lượng tồn kho: 5</t>
  </si>
  <si>
    <t>Số lượng hiện tại: 3
Số lượng tồn kho: 5</t>
  </si>
  <si>
    <t>Số lượng hiện tại: 5
Số lượng tồn kho: 5</t>
  </si>
  <si>
    <t>Kiểm tra khách hàng tăng số lượng khi số lượng sản phẩm = số lượng tồn kho</t>
  </si>
  <si>
    <t>1. Click nút (+) của 1 sản phẩm bất kì</t>
  </si>
  <si>
    <t>1. Click nút (-) của 1 sản phẩm bất kì</t>
  </si>
  <si>
    <t>1. Click nút (-) của 1 sản phẩm đang có số lượng =1</t>
  </si>
  <si>
    <t>Xem giỏ hàng</t>
  </si>
  <si>
    <t>1. Click icon giỏ hàng</t>
  </si>
  <si>
    <t>Kiểm tra giỏ hàng rỗng</t>
  </si>
  <si>
    <t>Lỗi DB khi tải giỏ hàng</t>
  </si>
  <si>
    <t xml:space="preserve">Tài khoản: trống
</t>
  </si>
  <si>
    <t>Lỗi DB khi đăng nhập</t>
  </si>
  <si>
    <t xml:space="preserve">Hệ thống không hiển thị thông báo </t>
  </si>
  <si>
    <t>Kiểm tra khách hàng nhập từ khóa là số</t>
  </si>
  <si>
    <t>Hệ thống hiển thị tất cả các sản phẩm đang có</t>
  </si>
  <si>
    <t>Hệ thống hiển thị thông báo "Không tìm thấy sản phẩm nào cho từ khóa: @@@"</t>
  </si>
  <si>
    <t>Hệ thống hiển thị thông báo "Không tìm thấy sản phẩm nào cho từ khóa: 123"</t>
  </si>
  <si>
    <t>Hệ thống hiển thị thông báo "Không tìm thấy sản phẩm nào cho từ khóa: Áo12"</t>
  </si>
  <si>
    <t>Hệ thống hiển thị thông báo "Không tìm thấy sản phẩm nào cho từ khóa: Áo@@@"</t>
  </si>
  <si>
    <t>Hệ thống hiển thị thông báo "Không tìm thấy sản phẩm nào cho từ khóa: 12@"</t>
  </si>
  <si>
    <t>Tìm kiếm: Quần khaki nam slimfit</t>
  </si>
  <si>
    <t xml:space="preserve">Hệ thống hiển thị tất cả các sản phẩm liên quan đến từ khóa </t>
  </si>
  <si>
    <t>Hệ thống cho phép tìm kiếm khi ấn enter</t>
  </si>
  <si>
    <t>Hệ thống hiển thị thông báo "Không tìm thấy sản phẩm nào cho từ khóa: Ao ba lo"</t>
  </si>
  <si>
    <t>Hệ thống hiển thị thông báo "Không tìm thấy sản phẩm nào cho từ khóa: Áo thun lam"</t>
  </si>
  <si>
    <t>Hệ thống hiển thị thông báo "Không tìm thấy sản phẩm nào cho từ khóa:  Áo sơ mi"</t>
  </si>
  <si>
    <t>Hệ thống cho phép nhập họ tên là chữ in hoa</t>
  </si>
  <si>
    <t xml:space="preserve">Kiểm tra khách hàng nhập số điện thoại là số khác 0 ở đầu </t>
  </si>
  <si>
    <t>Cho phép nhập số khác 0</t>
  </si>
  <si>
    <t>Kiểm tra khách hàng nhập email thiếu @</t>
  </si>
  <si>
    <t xml:space="preserve">Email: honggmail.com </t>
  </si>
  <si>
    <t>Kiểm tra khách hàng nhập email thiếu (.)</t>
  </si>
  <si>
    <t>1. Nhập email thiếu @
2. Các trường khác nhập giá trị hợp lệ
3. Click button Đăng ký</t>
  </si>
  <si>
    <t>1. Nhập email thiếu (.)
2. Các trường khác nhập giá trị hợp lệ
3. Click button Đăng ký</t>
  </si>
  <si>
    <t>hong@gmailcom</t>
  </si>
  <si>
    <t>Hệ thống cho phép đăng ký với email đã đăng ký</t>
  </si>
  <si>
    <t>Lỗi DB khi đăng ký</t>
  </si>
  <si>
    <t>Quản lí giỏ hàng</t>
  </si>
  <si>
    <t>Kiểm tra khách hàng xem giỏ hàng khi đã đăng nhập</t>
  </si>
  <si>
    <t xml:space="preserve">Kiểm tra khách hàng xem giỏ hàng khi có sản phẩm </t>
  </si>
  <si>
    <t>Hệ thống hiển thi thống báo "Chưa có sản phẩm nào trong giỏ hàng"</t>
  </si>
  <si>
    <t>Hệ thống cập nhật lại số lượng, giá tiền</t>
  </si>
  <si>
    <t>Hệ thống sẽ cập nhật lại số lượng và tổng tiền =0đ</t>
  </si>
  <si>
    <t>Hệ thống cập nhật lại số lượng và tống tiền là số âm</t>
  </si>
  <si>
    <t xml:space="preserve">Hệ thống cập nhật số lượng là số thực, tổng tiền là số nguyên( sl=1) </t>
  </si>
  <si>
    <t>Hệ thống bỏ trống trường số lượng và tổng tiền là NaN</t>
  </si>
  <si>
    <t>Kiểm tra khách hàng xóa 1 sản phẩm rồi click Hủy</t>
  </si>
  <si>
    <t>1. Nhấn dấu x ở bên phải sản phẩm
2. Click button Hủy khi có popup xác nhận</t>
  </si>
  <si>
    <t>Hệ thống không cho phép nhập chữ vào trường số lượng</t>
  </si>
  <si>
    <t>Hệ thống không cho phép nhập kí tự đặc biệt vào trường số lượng</t>
  </si>
  <si>
    <t>Hệ thống hiển thị thông báo "Số lượng hàng trong kho không đủ"</t>
  </si>
  <si>
    <t>Hệ thống lấy tên tài khoản, số điện thoại và địa chỉ mặc định</t>
  </si>
  <si>
    <t>Hệ thống hiển thị thống báo "Lỗi hệ thống"</t>
  </si>
  <si>
    <t>Hệ thống sẽ hiển thông báo " Số lượng hàng trong kho không đủ! (Hiện có X)</t>
  </si>
  <si>
    <t>1. Hệ thống hiển thị thông báo "Bạn có chắc chắn xóa sản phẩm này khỏi giỏ hàng"
2. Sản phẩm sẽ được xóa khỏi session của giỏ hàng</t>
  </si>
  <si>
    <t>1. Hệ thống hiển thị thông báo cho từng sản phẩm "Bạn có chắc chắn xóa sản phẩm này khỏi giỏ hàng"
2. Sản phẩm sẽ được xóa khỏi session của giỏ hàng</t>
  </si>
  <si>
    <t>1. Hệ thống hiển thị thông báo "Bạn có chắc chắn xóa sản phẩm này khỏi giỏ hàng"
2. Sản phẩm vẫn trong giỏ hàng sau khi click "Hủy"</t>
  </si>
  <si>
    <t>Hệ thống sẽ không hiển thị chức năng Đăng ký</t>
  </si>
  <si>
    <t>Hệ thống cho phép nhập họ tên chứa khoảng trắng</t>
  </si>
  <si>
    <t>Hệ thống cho phép nhập họ tên là chữ in hoa + chữ thường</t>
  </si>
  <si>
    <t>Hệ thống cho phép nhập họ tên là chữ thường+ số</t>
  </si>
  <si>
    <t>Hệ thống hiển thị thông báo : "Đăng ký không thành công. Thử lại sau !"</t>
  </si>
  <si>
    <t>Hệ thống cho phép nhập tài khoản là chữ in hoa</t>
  </si>
  <si>
    <t>Hệ thống cho phép nhập tài khoản là chữ in hoa + thường</t>
  </si>
  <si>
    <t>Hệ thống cho phép nhập tài khoản là chữ thường + số</t>
  </si>
  <si>
    <t>Hệ thống cho phép nhập tài khoản chứa khoảng trắng</t>
  </si>
  <si>
    <t>Hệ thống cho phép nhập địa chỉ là chữ thường</t>
  </si>
  <si>
    <t>Hệ thống cho phép nhập địa chỉ là chữ in hoa</t>
  </si>
  <si>
    <t>Hệ thống cho phép nhập địa chỉ là chữ thường + in hoa</t>
  </si>
  <si>
    <t>Hệ thống cho phép nhập địa chỉ là chữ thường + số</t>
  </si>
  <si>
    <t>Hệ thống cho phép nhập địa chỉ là chữ thường + kí tự đặc biệt</t>
  </si>
  <si>
    <t>Hệ thống không hiển thị thông báo lỗi</t>
  </si>
  <si>
    <t xml:space="preserve">Hệ thống cho phép xem danh mục </t>
  </si>
  <si>
    <t>Hệ thống hiển thị sản phẩm có từ khóa phù hợp</t>
  </si>
  <si>
    <t>Hệ thống hiển thị tất cả các sản phẩm có tên trùng từ khóa</t>
  </si>
  <si>
    <t>Hệ thống hiển thị sản phẩm trong kết quả tìm kiếm</t>
  </si>
  <si>
    <t>1. Hệ thống hiển thị thông báo "Tài khoản hoặc mật khẩu không đúng!"</t>
  </si>
  <si>
    <t>Hệ thống hiển thị thông báo "Vui lòng nhập thông tin"</t>
  </si>
  <si>
    <t>1. Nhập mật khẩu không tồn tại trong DB
2. Nhập tài khoản hợp lệ
3. Click button Đăng nhập</t>
  </si>
  <si>
    <t>1. Nhập mật khẩu tồn tại trong DB
2. Nhập tài khoản hợp lệ
3. Click button Đăng nhập</t>
  </si>
  <si>
    <t>Kiểm tra khách hàng đăng nhập không thành công do tài khoản bị vô hiệu hóa</t>
  </si>
  <si>
    <t>Thêm Vào Giỏ</t>
  </si>
  <si>
    <t>Kiểm tra khách hàng thêm vào giỏ thành công</t>
  </si>
  <si>
    <t>Kiểm tra khách hàng thêm vào giỏ khi sản phẩm hết hàng</t>
  </si>
  <si>
    <t>1. Click button Thêm Vào Giỏ</t>
  </si>
  <si>
    <t>Quản lí hóa đơn</t>
  </si>
  <si>
    <t>Kiểm tra quyền truy cập với user là Admin</t>
  </si>
  <si>
    <t>Kiểm tra quyền truy cập với user là Khách hàng</t>
  </si>
  <si>
    <t xml:space="preserve">User đăng nhập với tài khoản Khách hàng
</t>
  </si>
  <si>
    <t>Hệ thống hiển thị thông báo "Tài khoản không được cấp quyền"</t>
  </si>
  <si>
    <t>Trạng thái</t>
  </si>
  <si>
    <t>Tên đăng nhập: Admin
Mật khẩu: admin</t>
  </si>
  <si>
    <t>Tên đăng nhập: test_1
Mật khẩu: 123456789</t>
  </si>
  <si>
    <t>Xem hóa đơn</t>
  </si>
  <si>
    <t>Kiểm tra admin xem danh sách hóa đơn</t>
  </si>
  <si>
    <t>1. Click Hóa đơn trên trang quản trị</t>
  </si>
  <si>
    <t>Kiểm tra admin xem danh sách hóa đơn rỗng</t>
  </si>
  <si>
    <t>Hệ thống hiển thị thông báo "Không có đơn hàng!"</t>
  </si>
  <si>
    <t>Lỗi DB khi xem hóa đơn</t>
  </si>
  <si>
    <t>Xem chi tiết hóa đơn</t>
  </si>
  <si>
    <t>Kiểm tra admin xem chi tiết hóa đơn</t>
  </si>
  <si>
    <t>1. Click Chi tiết hóa đơn</t>
  </si>
  <si>
    <t>Kiểm tra admin xem chi tiết hóa đơn khi đã bị hủy</t>
  </si>
  <si>
    <t>Kiểm tra admin cập nhật trạng thái đơn hàng</t>
  </si>
  <si>
    <t>1. Admin chỉnh sửa trạng thái hóa đơn (Đang giao, Đang chuẩn bị, Đã thanh toán)</t>
  </si>
  <si>
    <t>Hệ thống sẽ cập nhật trạng thái với trạng thái đã chọn</t>
  </si>
  <si>
    <t>Hủy đơn hàng</t>
  </si>
  <si>
    <t>1. Click Hủy đơn hàng trong Tùy chọn
2. Click OK</t>
  </si>
  <si>
    <t>1. Click Hủy đơn hàng trong Tùy chọn
2. Click Cancel</t>
  </si>
  <si>
    <t>1. Hệ thống sẽ hiển thị thông báo "Bạn có chắc chắn về việc hủy đơn hàng này!"
2. Trạng thái đơn hàng sẽ không bị  thay đổi</t>
  </si>
  <si>
    <t>1. Số lượng các item trên màn hình như sau:
- button: Chi tiết hóa đơn, Hủy đơn hàng
- dropdown: Trạng thái</t>
  </si>
  <si>
    <t>Kiểm tra admin hủy đơn hàng với đơn đã hủy</t>
  </si>
  <si>
    <t xml:space="preserve">1. Chọn hóa đơn đã bị hủy
</t>
  </si>
  <si>
    <t>Hệ thống ẩn nút Hủy đơn hàng với đơn đã bị hủy</t>
  </si>
  <si>
    <t>1. Nhập ngày sinh hợp lệ trong quá khứ
2. Các trường khác nhập giá trị hợp lệ
3. Click button Đăng ký</t>
  </si>
  <si>
    <t>Sản phẩm: Quần jeans nữ ôm body</t>
  </si>
  <si>
    <t>Tồn tài sản phẩm và hết size XXXL màu xám</t>
  </si>
  <si>
    <t>Sản phẩm: Áo phông nam trơn</t>
  </si>
  <si>
    <t>Kiểm tra khách hàng chọn kích cỡ/màu sắc đã hết hàng</t>
  </si>
  <si>
    <t>Kiểm tra khách hàng nhập tài khoản đúng nhưng phân biệt hoa thường</t>
  </si>
  <si>
    <t>Tài khoản: Test_1</t>
  </si>
  <si>
    <t>Xem đánh giá</t>
  </si>
  <si>
    <t>Kiểm tra sản phẩm có đánh giá</t>
  </si>
  <si>
    <t>Đang ở trang xem chi tiết sản phẩm</t>
  </si>
  <si>
    <t>Sản phẩm: Áo sơ mi nam trơn</t>
  </si>
  <si>
    <t>Hệ thống hiển thị đầy đủ thông tin người đánh giá, bình luận, ngày tạo</t>
  </si>
  <si>
    <t>Kiểm tra sản phẩm không có đánh giá</t>
  </si>
  <si>
    <t>Hệ thống hiển thị "Chưa có đánh giá nào"</t>
  </si>
  <si>
    <t>1. Giữ nguyên thông tin nhận hàng
2. Click button Đặt hàng</t>
  </si>
  <si>
    <t xml:space="preserve">1. Sửa thông tin nhận hàng
2. Click button Đặt hàng
</t>
  </si>
  <si>
    <t>Kiểm tra khách hàng bỏ trống trường họ tên/ số điện thoại/địa chỉ</t>
  </si>
  <si>
    <t>1. Bỏ trống trường họ tên/sdt/địa chỉ
2. Click button Đặt hàng</t>
  </si>
  <si>
    <t>Họ tên: Bỏ trống
Số điện thoại: Bỏ trống
Địa chỉ: Bỏ trống</t>
  </si>
  <si>
    <t>Kiểm tra user đăng nhập với tư cách là khách hàng</t>
  </si>
  <si>
    <t>Kiểm tra quyền truy cập với tư cách là admin</t>
  </si>
  <si>
    <t>tài khoản: test_1
mật khẩu: 123456789</t>
  </si>
  <si>
    <t>tài khoản: admin
mật khẩu: admin</t>
  </si>
  <si>
    <t>Hệ thống sẽ hiển thị thống báo "Tài khoản hoặc mật khẩu không đúng"</t>
  </si>
  <si>
    <t>Tài khoản: a
Mật khẩu: 123456789</t>
  </si>
  <si>
    <t>1. Hệ thống hiển thị thông báo "Tài khoản của bạn đã bị vô hiệu hóa !"</t>
  </si>
  <si>
    <t>Kiểm tra quyền truy cập khi đã đăng nhập</t>
  </si>
  <si>
    <t>1. Nhập số điện thoại khác 0 ở đầu
2. Các trường khác nhập giá trị hợp lệ
3. Click button Đăng ký</t>
  </si>
  <si>
    <t>Số điện thoại: 1234567899</t>
  </si>
  <si>
    <t>Quần jean nữ ôm body</t>
  </si>
  <si>
    <t>Áo phông nam trơn, hết size XXXL</t>
  </si>
  <si>
    <t>Hệ thống hiển thị thông báo "Vui lòng điền thông tin vào đây"</t>
  </si>
  <si>
    <t>Kiểm tra khách hàng thêm vào giỏ khi sản phẩm hết size/màu</t>
  </si>
  <si>
    <t>Kiểm tra khách hàng thêm số lượng lớn hơn số lượng tồn kho</t>
  </si>
  <si>
    <t>1. Chọn sản phẩm đang hết hàng
2. Click button Thêm Vào Giỏ</t>
  </si>
  <si>
    <t>1. Chọn sản phẩm đang hết size/màu 
2. Click button Thêm Vào Giỏ</t>
  </si>
  <si>
    <t>1. Tăng số lượng lớn hơn số lượng tồn kho
 2. Click button Thêm Vào Giỏ</t>
  </si>
  <si>
    <t>Số lượng: 1000</t>
  </si>
  <si>
    <t>Áo ba lỗ</t>
  </si>
  <si>
    <t>Hệ thống cho phép xem thông tin của sản phẩm đã bị hủy</t>
  </si>
  <si>
    <t>Kiểm tra admin hủy đơn hàng thành công</t>
  </si>
  <si>
    <t>Kiểm tra admin hủy đơn hàng thất bại</t>
  </si>
  <si>
    <t>Kiểm tra khách hàng nhập email không có local</t>
  </si>
  <si>
    <t>1. Nhập email thiếu local
2. Các trường khác nhập giá trị hợp lệ
3. Click button Đăng ký</t>
  </si>
  <si>
    <t xml:space="preserve">@gmail.com'
</t>
  </si>
  <si>
    <t>1. Nhập email không có TLD
2. Các trường khác nhập giá trị hợp lệ
3. Click button Đăng ký</t>
  </si>
  <si>
    <t xml:space="preserve">
hong@gmail</t>
  </si>
  <si>
    <t>Vũ Hồng</t>
  </si>
  <si>
    <t>1. Đã có tài khoản 
2.  Đang ở trang đăng nhập</t>
  </si>
  <si>
    <t>1. Có tài khoản admin 
2.  Đang ở trang đăng nhập</t>
  </si>
  <si>
    <t>Please fill out this field
Tùy vào Chorme cài</t>
  </si>
  <si>
    <t>Tài khoản đã được đăng ký</t>
  </si>
  <si>
    <t>Tài khoản chưa được đăng ký</t>
  </si>
  <si>
    <t>1. Nhập tài khoản chưa đăng ký
2. Nhập mật khẩu hợp lệ
3. Click button Đăng nhập</t>
  </si>
  <si>
    <t>Hệ thống cho phép nhập tên không phân biệt hoa thường</t>
  </si>
  <si>
    <t>1. Nhập tài khoản đúng nhưng phân biệt hoa thường
2. Nhập mật khẩu hợp lệ
3. Click button Đăng nhập</t>
  </si>
  <si>
    <t xml:space="preserve">Khách hàng đang ở form đăng nhập
</t>
  </si>
  <si>
    <t xml:space="preserve">1. Hệ thống không hiển thị thông báo
</t>
  </si>
  <si>
    <t>Cần giả lập DB</t>
  </si>
  <si>
    <t xml:space="preserve">1. Khách hàng đang ở form đăng nhập
2. Tài khoản đã được đăng ký </t>
  </si>
  <si>
    <t>1. Khách hàng đang ở form đăng nhập
2. Tài khoản đã được đăng ký 
3. Lỗi DB</t>
  </si>
  <si>
    <t>Người dùng nhập từ khóa vào thanh tìm kiếm trên menu
- Nếu đúng: hiển thị sản phẩm
- Nếu sai: hiển thị thông báo</t>
  </si>
  <si>
    <t>1. Hệ thống cho phép khách vãng lai tìm kiếm
2. Hiển thị kết quả tìm kiếm</t>
  </si>
  <si>
    <t xml:space="preserve">1. Hệ thống hiển thị kết quả tìm kiếm
</t>
  </si>
  <si>
    <t>1. Số lượng các item trên màn hình như sau:
- text box: Tìm kiếm
- button: icon Tìm kiếm</t>
  </si>
  <si>
    <t>Hệ thống hiển thị thông tin sản phẩm như design</t>
  </si>
  <si>
    <t>Tìm kiếm: Quần jean nữ ôm body</t>
  </si>
  <si>
    <t>Hệ thống hiển thị tất cả các danh mục đang có khi click vào Sản phẩm trên thanh menu</t>
  </si>
  <si>
    <t>1. Mở trang chủ
2. Hover Sản phẩm trên menu</t>
  </si>
  <si>
    <t>1. Cho phép xem danh mục khi chưa đăng nhập
2. Hiển thị tất cả các danh mục đang có</t>
  </si>
  <si>
    <t>Kiểm tra khách hàng xem danh sách danh mục đang có</t>
  </si>
  <si>
    <t>1. Hover vào Sản phẩm trên thanh menu</t>
  </si>
  <si>
    <t>Kiểm tra khách hàng xem danh mục rỗng</t>
  </si>
  <si>
    <t xml:space="preserve">Lỗi DB khi xem danh mục </t>
  </si>
  <si>
    <t>1. Có ít nhất 1 danh mục
2. Lỗi DB</t>
  </si>
  <si>
    <t>Cần ngắt/xóa hết danh mục trong DB</t>
  </si>
  <si>
    <t>Hệ thống sẽ hiển thị thông báo "Chưa có danh mục nào!"</t>
  </si>
  <si>
    <t>Hệ thống hiển thị thông tin chi tiết sản phẩm khi click vào một sản phẩm bất kỳ. 
Có thể:
- Xem đánh giá
- Thêm sản phẩm vào giỏ</t>
  </si>
  <si>
    <t xml:space="preserve">1. Cho phép xem chi tiết sản phẩm khi chưa đăng nhập
2. Hệ thống chuyển đến trang xem chi tiết sản phẩm
</t>
  </si>
  <si>
    <t>1. Hệ thống chuyển đến trang xem chi tiết sản phẩm</t>
  </si>
  <si>
    <t xml:space="preserve">1. Số lượng các item trên màn hình như sau:
- button: Thêm Vào Giỏ
- dropdown: Size </t>
  </si>
  <si>
    <t>1. Sản phẩm còn hàng: Item ở trạng thái enable
2. Sản phẩm hết hàng, hết size/màu: Item ở trạng thái disable</t>
  </si>
  <si>
    <t>Khi hết hàng, hết size/màu, button ở trạng thái enable</t>
  </si>
  <si>
    <t>1. Sai thông báo: Hết hàng! Hãy chọn kích cỡ khác
2. Button enable</t>
  </si>
  <si>
    <t>1. Button enable</t>
  </si>
  <si>
    <t>1. Hệ thống hiển thị đầy đủ thông tin về sản phẩm 
2. Hiển thị thông báo "Số lượng hàng trong kho không đủ"
3. Button Thêm Vào Giỏ disable với những sản phẩm hết</t>
  </si>
  <si>
    <t>1. Khách hàng đã đăng nhập 
2. Đang ở trang xem chi tiết sản phẩm</t>
  </si>
  <si>
    <t>1. Hệ thống thêm sản phẩm thành công vào giỏ hàng
2. Hiển thị thông báo thành công với nội dung "Xem chi tiết tại giỏ &lt;3"</t>
  </si>
  <si>
    <t>1. Hệ thống hiển thị thông báo "Hết hàng! Vui lòng chọn sản phẩm khác" 
2.  Button Thêm Vào Giỏ sẽ disable</t>
  </si>
  <si>
    <t>1. Hệ thống hiển thi thông báo "Số lượng hàng trong kho không đủ"
2. Sản phẩm không được thêm vào giỏ hàng</t>
  </si>
  <si>
    <t xml:space="preserve">1. Hệ thống hiển thị đầy đủ thông tin về sản phẩm 
2. Hiển thị thông báo "Hết hàng! Hãy chọn sản phẩm khác"
</t>
  </si>
  <si>
    <t>1 Hiển thị thông báo "Số lượng hàng trong kho không đủ"
2. Button Thêm Vào Giỏ disable với những sản phẩm hết</t>
  </si>
  <si>
    <t>1. Sai thông báo  "Hết hàng! Vui lòng chọn kích cỡ khác"
2. Button enable</t>
  </si>
  <si>
    <t>Hệ thống phải đăng nhập vào trang chủ khi nhập tài khoản đã đăng ký</t>
  </si>
  <si>
    <t xml:space="preserve">Hệ thống tạo tài khoản thành công khi nhập các thông tin hợp lệ </t>
  </si>
  <si>
    <t>Kiểm tra user đăng ký với tư cách là khách hàng</t>
  </si>
  <si>
    <t>1. Chưa đăng nhập
2. Tài khoản chưa tồn tại</t>
  </si>
  <si>
    <t>1. Đang ở màn hình đăng ký</t>
  </si>
  <si>
    <t xml:space="preserve">Họ tên: 
</t>
  </si>
  <si>
    <t xml:space="preserve">Họ tên: hồng
</t>
  </si>
  <si>
    <t xml:space="preserve">Họ tên: HỒNG
</t>
  </si>
  <si>
    <t xml:space="preserve">Họ tên: HỒNg
</t>
  </si>
  <si>
    <t xml:space="preserve">Họ tên: 123
</t>
  </si>
  <si>
    <t xml:space="preserve">Họ tên: !@#
</t>
  </si>
  <si>
    <t xml:space="preserve">Họ tên: hồng12
</t>
  </si>
  <si>
    <t xml:space="preserve">Họ tên: hồng@#
</t>
  </si>
  <si>
    <t xml:space="preserve">Họ tên: &lt;khoảng trắng&gt; hồng
</t>
  </si>
  <si>
    <t>1. Họ tên: nhập chữ in hoa
2. Các trường còn lại nhập hợp lệ
3. Click button Đăng ký</t>
  </si>
  <si>
    <t>1. Họ tên: nhập chữ thường
2. Các trường còn lại nhập hợp lệ
3. Click button Đăng ký</t>
  </si>
  <si>
    <t>1. Họ tên: nhập chữ thường và chữ in hoa
2. Các trường còn lại nhập hợp lệ
3. Click button Đăng ký</t>
  </si>
  <si>
    <t>1. Họ tên: nhập số
2. Các trường còn lại nhập hợp lệ
3. Click button Đăng ký</t>
  </si>
  <si>
    <t>1. Họ tên: nhập kí tự đặc biệt
2. Các trường còn lại nhập hợp lệ
3. Click button Đăng ký</t>
  </si>
  <si>
    <t>Châp nhận Please fill out this field (do cài đặt tùy Chrome)</t>
  </si>
  <si>
    <t xml:space="preserve">Hệ thống cho phép nhập họ tên là chữ thường
</t>
  </si>
  <si>
    <t xml:space="preserve">1. Hệ thống không cho phép nhập họ tên là kí tự đặc biệt
2. Hệ thống hiển thị thống báo "Đăng ký không thành công. Thử lại sau !"
</t>
  </si>
  <si>
    <t xml:space="preserve">1. Hệ thống không cho phép nhập họ tên là số
2. Hệ thống hiển thị thông báo "Đăng ký không thành công. Thử lại sau !"
</t>
  </si>
  <si>
    <t xml:space="preserve">1. Hệ thống không cho phép nhập họ tên là chữ thường + kí tự đặc biệt
2. Hệ thống hiển thị thống báo "Đăng ký không thành công. Thử lại sau !"
</t>
  </si>
  <si>
    <t>1. Hệ thống hiển thị thông báo : "Đăng ký không thành công. Thử lại sau !"</t>
  </si>
  <si>
    <t>1. Hệ thống cho phép nhập số điện thoại đủ 10 kí tự
2. Hệ thống không hiển thị thông báo</t>
  </si>
  <si>
    <t xml:space="preserve">Sai thông báo </t>
  </si>
  <si>
    <t>1. Hệ thống cho phép nhập tài khoản là chữ thường</t>
  </si>
  <si>
    <t>1. Hệ thống không cho phép nhập tài khoản là số
2. Hệ thống hiển thị thông báo "Đăng ký không thành công. Thử lại sau !"</t>
  </si>
  <si>
    <t>1. Hệ thống không cho phép nhập tài khoản là kí tự đặc biệt
2. Hệ thống hiển thị thông báo "Đăng ký không thành công. Thử lại sau !"</t>
  </si>
  <si>
    <t>1. Hệ thống không cho phép nhập tài khoản là kí tự đặc biệt và chữ
2. Hệ thống hiển thị thông báo "Đăng ký không thành công. Thử lại sau !"</t>
  </si>
  <si>
    <t>1. Hệ thống không cho phép nhập địa chỉ là số
2. Hệ thống hiển thị thông báo "Đăng ký không thành công. Thử lại sau !"</t>
  </si>
  <si>
    <t>1. Hệ thống không cho phép nhập địa chỉ là kí tự đặc biệt
2. Hệ thống hiển thị thông báo "Đăng ký không thành công. Thử lại sau !"</t>
  </si>
  <si>
    <t>Ngày sinh: 2003-01-01</t>
  </si>
  <si>
    <t>Ngày sinh: 0003-01-01</t>
  </si>
  <si>
    <t xml:space="preserve">Họ tên: Hồng
Địa chỉ: Bắc Ninh
Email:hong@gmail.com
Số điện thoại:0123456789
Ngày sinh: 2003-01-01
Giới tính: Nữ
Tài khoản: hong
Mật khẩu: 123456
Xác nhận mật khẩu: 123456
</t>
  </si>
  <si>
    <t>1. Hệ thống chuyển đến màn hình trang chủ
2. Dữ liệu được lưu trong DB</t>
  </si>
  <si>
    <t>1. Hệ thống hiển thị thông báo "Tên đăng nhập đã tồn tại"
2. Tài khoản không được lưu đè trong DB</t>
  </si>
  <si>
    <t>1. Hệ thống hiển thị thống báo "Email đã tồn tại"
2. Tài khoản không được lưu trong DB</t>
  </si>
  <si>
    <t>1. Khách hàng đang ở màn hình đăng ký
2. Tồn tại email: hong@gmail.com</t>
  </si>
  <si>
    <t>1. Đang ở màn hình đăng ký
2. Đã nhập mật khẩu</t>
  </si>
  <si>
    <t>Kiểm tra khách hàng nhập mật khẩu khớp với xác nhận</t>
  </si>
  <si>
    <t>1. Nhập mật khẩu và xác nhận mật khẩu trùng nhau
2. Các trượng khác nhập giá trị hợp lệ
3. Click button Đăng ký</t>
  </si>
  <si>
    <t>Mật khẩu: 1234567
Xác nhận mật khẩu: 1234567</t>
  </si>
  <si>
    <t>Kiểm tra khách hàng nhập email không có TLD</t>
  </si>
  <si>
    <t xml:space="preserve">Hệ thống cho phép đăng ký </t>
  </si>
  <si>
    <t>Hệ thống cho phép đăng ký</t>
  </si>
  <si>
    <t>Kiểm tra khách hàng nhập ngày sinh không tồn tại</t>
  </si>
  <si>
    <t>1. Nhập ngày sinh không tồn tại 
2. Các trường khác nhập giá trị hợp lệ
3. Click button Đăng ký</t>
  </si>
  <si>
    <t>1. Chưa có tài khoản 
2. Khách hàng đang ở form đăng ký</t>
  </si>
  <si>
    <t>1. Email 'hong@gmail.com' đã được đăng kí
2. Khách hàng đang ở form đăng ký</t>
  </si>
  <si>
    <t>1. Tài khoản 'hong' đã được đăng kí
2. Khách hàng đang ở form đăng ký</t>
  </si>
  <si>
    <t>Hệ thống đặt hàng thành công với các sản phẩm có trong giỏ hàng</t>
  </si>
  <si>
    <t xml:space="preserve">1. Chưa đăng nhập
2. Đang ở giỏ hàng
3. Có sản phẩm trong giỏ
</t>
  </si>
  <si>
    <t xml:space="preserve">1. Đã đăng nhập
2. Đang ở giỏ hàng
3. Có sản phẩm trong giỏ
</t>
  </si>
  <si>
    <t xml:space="preserve">1. Đã đăng nhập
2. Đang ở trang đặt hàng
</t>
  </si>
  <si>
    <t xml:space="preserve">1. Hệ thống cho phép thay đổi thông tin 
2. Hệ thống lưu thông tin vào bảng HOADON </t>
  </si>
  <si>
    <t>1. Hệ thống hiển thị thông tin hóa đơn
2. Sản phẩm sẽ biến mất khỏi giỏ hàng</t>
  </si>
  <si>
    <t xml:space="preserve">1. Đã đăng nhập
2. Đang ở trang giỏ hàng
3. Giỏ hàng không có sản phẩm
</t>
  </si>
  <si>
    <t xml:space="preserve">Các items đều ở trạng thái enable
</t>
  </si>
  <si>
    <t xml:space="preserve">1. Hệ thống không chuyển sang trang thanh toán
</t>
  </si>
  <si>
    <t xml:space="preserve">Kiểm tra khách hàng đặt hàng khi đã đăng nhập </t>
  </si>
  <si>
    <t>1. Hệ thống chuyển đến trang thanh toán</t>
  </si>
  <si>
    <t>1. Hệ thống chuyển đến màn hình đăng nhập</t>
  </si>
  <si>
    <t xml:space="preserve">1. Đã đăng nhập
2. Đang ở trang giỏ hàng
3. Giỏ hàng có ít nhất 1 sản phẩm
</t>
  </si>
  <si>
    <t>1. Click button Đặt hàng
2. Điền thông tin và click button Đặt hàng ở trang thanh toán</t>
  </si>
  <si>
    <t xml:space="preserve">1. Chưa đăng nhập
2. Có sản phẩm trong giỏ
</t>
  </si>
  <si>
    <t xml:space="preserve">1. Đã đăng nhập
2. Có sản phẩm trong giỏ
</t>
  </si>
  <si>
    <t>Hệ thống chuyển đến trang giỏ hàng</t>
  </si>
  <si>
    <t xml:space="preserve">1. Đã đăng nhập
2. Có ít nhất 1 sản phẩm trong giỏ
</t>
  </si>
  <si>
    <t>Hệ thống hiển thị đầy đủ thông tin về sản phẩm theo design</t>
  </si>
  <si>
    <t xml:space="preserve">1. Đã đăng nhập
2. Không có sản phẩm nào trong giỏ
</t>
  </si>
  <si>
    <t>Số lượng: 1</t>
  </si>
  <si>
    <t xml:space="preserve">1. Hệ thống hiển thị thông báo "Bạn có chắc chắn xóa sản phẩm này khỏi giỏ hảng"
</t>
  </si>
  <si>
    <t>Khi nhập số thực, hệ thống tự động chuyển thành số nguyên</t>
  </si>
  <si>
    <t>Khi nhập số âm, hệ thống tự động chuyển thành số nguyên dương</t>
  </si>
  <si>
    <t>1. Hiển thị thông báo "Vui lòng nhập số lượng"</t>
  </si>
  <si>
    <t>Hệ thống cập nhật số lượng, tính lại số tiền, tổng thành tiền và hiển thị lên màn hình</t>
  </si>
  <si>
    <t>1. Hệ thống hiển thị thông báo cho từng sản phẩm "Bạn có chắc chắn xóa sản phẩm này khỏi giỏ hàng"
2. Sản phẩm sẽ được xóa khỏi session của giỏ hàng
3. Hệ thống sẽ hiển thị "Chưa có sản phẩm nào trong giỏ hàng"</t>
  </si>
  <si>
    <t>1. Đã đăng nhập
2. Có ít nhất 1 sản phẩm trong giỏ
3. Số lượng sản phẩm &lt; số lượng tồn kho</t>
  </si>
  <si>
    <t>1. Đã đăng nhập
2. Có ít nhất 1 sản phẩm trong giỏ
3. Số lượng sản phẩm = số lượng tồn kho</t>
  </si>
  <si>
    <t xml:space="preserve">1. Đã đăng nhập
2. Có ít nhất 1 sản phẩm trong giỏ với số lượng =1
</t>
  </si>
  <si>
    <t xml:space="preserve">1. Đã đăng nhập
2. Có ít nhất 2 sản phẩm trong giỏ
</t>
  </si>
  <si>
    <t xml:space="preserve">1. Đã đăng nhập
2. Có ít nhất 3 sản phẩm trong giỏ
</t>
  </si>
  <si>
    <t xml:space="preserve">1. Đã đăng nhập
2. Đang ở trang giỏ hàng
</t>
  </si>
  <si>
    <t>Hệ thống cho phép khách hàng xem sản phẩm trong giỏ, sửa số lượng, xóa sản phẩm khỏi giỏ hàng</t>
  </si>
  <si>
    <t>Hệ thống cho phép người quản trị xem hóa đơn, hủy đơn hàng và chỉnh sửa trạng thái đơn hàng</t>
  </si>
  <si>
    <t xml:space="preserve">1. Click Hóa đơn
</t>
  </si>
  <si>
    <t>Hệ thống sẽ hiển thị tất cả các hóa đơn</t>
  </si>
  <si>
    <t>Hệ thống hiển thị đầy đủ các thông tin như design</t>
  </si>
  <si>
    <t>Không có chức năng xóa ở trang admin</t>
  </si>
  <si>
    <t>1. Hệ thống hiển thị đầy đủ thông tin theo design
2. Thông tin được hiển thị giống trong DB</t>
  </si>
  <si>
    <t>1. Đang ở trang admin
2. Có ít nhất 1 hóa đơn</t>
  </si>
  <si>
    <t>1. Đang ở trang hóa đơn
2. Có ít nhất 1 hóa đơn</t>
  </si>
  <si>
    <t>1. Đang ở trang hóa đơn
2. Có ít nhất 1 hóa đơn đã bị hủy</t>
  </si>
  <si>
    <t>1. Đang ở trang admin
2. Không có hóa đơn</t>
  </si>
  <si>
    <t xml:space="preserve">Đang ở trang admin
</t>
  </si>
  <si>
    <t>1. Số lượng các item hiển thị theo design</t>
  </si>
  <si>
    <t>Sai thông báo "Tài khoản hoặc mật khẩu không đúng"</t>
  </si>
  <si>
    <t>DATN_TrueMart_Auto</t>
  </si>
  <si>
    <t xml:space="preserve">DATN </t>
  </si>
  <si>
    <t>Tìm kiếm sản phẩm</t>
  </si>
  <si>
    <t>Lỗi DB khi tìm kiếm</t>
  </si>
  <si>
    <t>Số điện thoại: điện!@</t>
  </si>
  <si>
    <t>Mật khẩu: 123456789</t>
  </si>
  <si>
    <t>Tài khoản: test_1
Mật khẩu: 123456789</t>
  </si>
  <si>
    <t>DATN</t>
  </si>
  <si>
    <t xml:space="preserve">DATN_TrueMart_Auto	</t>
  </si>
  <si>
    <t>DATN_1</t>
  </si>
  <si>
    <t>1. Hệ thống sẽ hiển thị thông báo "Bạn có chắc chắn về việc hủy đơn hàng này!"
2. Hệ thống sẽ chỉnh sửa lại trạng thái thành "Đã bị hủy" kèm thông báo "Sửa trạng thái thành công" sau khi click OK</t>
  </si>
  <si>
    <t>Search</t>
  </si>
  <si>
    <t>Category</t>
  </si>
  <si>
    <t>Product_detail</t>
  </si>
  <si>
    <t>Register</t>
  </si>
  <si>
    <t>Order</t>
  </si>
  <si>
    <t>Cart</t>
  </si>
  <si>
    <t>Invoice</t>
  </si>
  <si>
    <t>Gồm 8 module: Đăng ký, Đăng nhập, Xem danh mục sản phẩm, Tìm kiếm sản phẩm, Xem chi tiết sản phẩm, Quản lí giỏ hàng, Đặt hàng, Quản lí hóa đơn</t>
  </si>
  <si>
    <t>Vũ Thị Hồng</t>
  </si>
  <si>
    <t>1. Server: localhost 
2. Databasse: SQL Server  2019
3. Web Browser: Chrome Version 147.0.7727.102 (Official Build) (64-bit)
4. URL: https://localhost:44392
5. OS: Windows 11</t>
  </si>
  <si>
    <t>DATN_TestReport_v1.0</t>
  </si>
  <si>
    <t>ThS. Phạm Thị Kim Phượng</t>
  </si>
  <si>
    <t>Khách hàng đã đăng ký tài khoản</t>
  </si>
  <si>
    <t>Đang ở trang chủ</t>
  </si>
  <si>
    <t>Đang ở màn hình đăng ký</t>
  </si>
  <si>
    <t>Đang ở giỏ hàng</t>
  </si>
  <si>
    <t>Đang ở trang hóa đơn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</si>
</sst>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rgb="FF000000"/>
      <name val="MS PGothic"/>
      <scheme val="minor"/>
    </font>
    <font>
      <sz val="10"/>
      <color theme="1"/>
      <name val="Tahoma"/>
      <family val="2"/>
    </font>
    <font>
      <b/>
      <sz val="22"/>
      <color rgb="FFDD0806"/>
      <name val="Tahoma"/>
      <family val="2"/>
    </font>
    <font>
      <b/>
      <sz val="25"/>
      <color rgb="FFDD0806"/>
      <name val="Tahoma"/>
      <family val="2"/>
    </font>
    <font>
      <b/>
      <sz val="20"/>
      <color rgb="FF000000"/>
      <name val="Tahoma"/>
      <family val="2"/>
    </font>
    <font>
      <sz val="11"/>
      <name val="MS PGothic"/>
      <family val="2"/>
    </font>
    <font>
      <b/>
      <sz val="10"/>
      <color rgb="FF993300"/>
      <name val="Tahoma"/>
      <family val="2"/>
    </font>
    <font>
      <i/>
      <sz val="10"/>
      <color rgb="FF006411"/>
      <name val="Tahoma"/>
      <family val="2"/>
    </font>
    <font>
      <b/>
      <sz val="10"/>
      <color rgb="FFFFFFFF"/>
      <name val="Tahoma"/>
      <family val="2"/>
    </font>
    <font>
      <b/>
      <sz val="10"/>
      <color rgb="FF000000"/>
      <name val="Tahoma"/>
      <family val="2"/>
    </font>
    <font>
      <b/>
      <sz val="10"/>
      <color rgb="FFDD0806"/>
      <name val="Tahoma"/>
      <family val="2"/>
    </font>
    <font>
      <b/>
      <sz val="10"/>
      <color theme="1"/>
      <name val="Tahoma"/>
      <family val="2"/>
    </font>
    <font>
      <sz val="10"/>
      <color rgb="FF000000"/>
      <name val="Tahoma"/>
      <family val="2"/>
    </font>
    <font>
      <sz val="10"/>
      <color rgb="FFDD0806"/>
      <name val="Tahoma"/>
      <family val="2"/>
    </font>
    <font>
      <sz val="10"/>
      <color rgb="FFFFFFFF"/>
      <name val="Tahoma"/>
      <family val="2"/>
    </font>
    <font>
      <b/>
      <sz val="10"/>
      <color rgb="FF0000D4"/>
      <name val="Tahoma"/>
      <family val="2"/>
    </font>
    <font>
      <sz val="10"/>
      <color theme="1"/>
      <name val="Tahoma"/>
      <family val="2"/>
    </font>
    <font>
      <i/>
      <sz val="10"/>
      <color rgb="FF006411"/>
      <name val="Tahoma"/>
      <family val="2"/>
    </font>
    <font>
      <sz val="8"/>
      <name val="MS PGothic"/>
      <family val="2"/>
      <scheme val="minor"/>
    </font>
    <font>
      <sz val="10"/>
      <name val="Tahoma"/>
      <family val="2"/>
    </font>
    <font>
      <sz val="11"/>
      <name val="MS PGothic"/>
      <family val="2"/>
      <scheme val="minor"/>
    </font>
    <font>
      <sz val="11"/>
      <color rgb="FF000000"/>
      <name val="MS PGothic"/>
      <family val="2"/>
      <scheme val="minor"/>
    </font>
    <font>
      <u/>
      <sz val="11"/>
      <color theme="10"/>
      <name val="MS PGothic"/>
      <scheme val="minor"/>
    </font>
    <font>
      <b/>
      <sz val="14"/>
      <color rgb="FFFFFFFF"/>
      <name val="Times New Roman"/>
      <family val="1"/>
    </font>
    <font>
      <sz val="14"/>
      <name val="Times New Roman"/>
      <family val="1"/>
    </font>
  </fonts>
  <fills count="6">
    <fill>
      <patternFill patternType="none"/>
    </fill>
    <fill>
      <patternFill patternType="gray125"/>
    </fill>
    <fill>
      <patternFill patternType="solid">
        <fgColor rgb="FFFFFFFF"/>
        <bgColor rgb="FFFFFFFF"/>
      </patternFill>
    </fill>
    <fill>
      <patternFill patternType="solid">
        <fgColor rgb="FF000090"/>
        <bgColor rgb="FF000090"/>
      </patternFill>
    </fill>
    <fill>
      <patternFill patternType="solid">
        <fgColor rgb="FF333399"/>
        <bgColor rgb="FF333399"/>
      </patternFill>
    </fill>
    <fill>
      <patternFill patternType="solid">
        <fgColor rgb="FF00FF00"/>
        <bgColor rgb="FFFFFFFF"/>
      </patternFill>
    </fill>
  </fills>
  <borders count="7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right/>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right style="thin">
        <color rgb="FF000000"/>
      </right>
      <top style="thin">
        <color rgb="FF000000"/>
      </top>
      <bottom style="thin">
        <color rgb="FF000000"/>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indexed="64"/>
      </right>
      <top/>
      <bottom style="thin">
        <color indexed="64"/>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1" fillId="0" borderId="46"/>
    <xf numFmtId="0" fontId="22" fillId="0" borderId="0" applyNumberFormat="0" applyFill="0" applyBorder="0" applyAlignment="0" applyProtection="0"/>
  </cellStyleXfs>
  <cellXfs count="261">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3" fillId="0" borderId="2" xfId="0" applyFont="1" applyBorder="1" applyAlignment="1">
      <alignment horizontal="center" vertical="center"/>
    </xf>
    <xf numFmtId="0" fontId="1" fillId="0" borderId="0" xfId="0" applyFont="1" applyAlignment="1">
      <alignment horizontal="center" vertical="center"/>
    </xf>
    <xf numFmtId="0" fontId="6" fillId="2" borderId="1" xfId="0" applyFont="1" applyFill="1" applyBorder="1" applyAlignment="1">
      <alignment horizontal="left"/>
    </xf>
    <xf numFmtId="0" fontId="7" fillId="0" borderId="0" xfId="0" applyFont="1" applyAlignment="1">
      <alignment horizontal="left"/>
    </xf>
    <xf numFmtId="0" fontId="1" fillId="2" borderId="1" xfId="0" applyFont="1" applyFill="1" applyBorder="1"/>
    <xf numFmtId="0" fontId="6" fillId="2" borderId="5" xfId="0" applyFont="1" applyFill="1" applyBorder="1" applyAlignment="1">
      <alignment horizontal="left"/>
    </xf>
    <xf numFmtId="0" fontId="1" fillId="0" borderId="4" xfId="0" applyFont="1" applyBorder="1"/>
    <xf numFmtId="0" fontId="7" fillId="0" borderId="4" xfId="0" applyFont="1" applyBorder="1" applyAlignment="1">
      <alignment horizontal="left"/>
    </xf>
    <xf numFmtId="0" fontId="7" fillId="0" borderId="0" xfId="0" quotePrefix="1" applyFont="1" applyAlignment="1">
      <alignment horizontal="left"/>
    </xf>
    <xf numFmtId="0" fontId="6" fillId="2" borderId="1" xfId="0" applyFont="1" applyFill="1" applyBorder="1"/>
    <xf numFmtId="0" fontId="6" fillId="0" borderId="0" xfId="0" applyFont="1" applyAlignment="1">
      <alignment horizontal="left"/>
    </xf>
    <xf numFmtId="0" fontId="1" fillId="0" borderId="0" xfId="0" applyFont="1" applyAlignment="1">
      <alignment vertical="center"/>
    </xf>
    <xf numFmtId="15" fontId="8" fillId="3" borderId="14" xfId="0" applyNumberFormat="1" applyFont="1" applyFill="1" applyBorder="1" applyAlignment="1">
      <alignment horizontal="center" vertical="center"/>
    </xf>
    <xf numFmtId="0" fontId="8" fillId="3" borderId="15" xfId="0" applyFont="1" applyFill="1" applyBorder="1" applyAlignment="1">
      <alignment horizontal="center" vertical="center"/>
    </xf>
    <xf numFmtId="0" fontId="8" fillId="3" borderId="16" xfId="0" applyFont="1" applyFill="1" applyBorder="1" applyAlignment="1">
      <alignment horizontal="center" vertical="center"/>
    </xf>
    <xf numFmtId="0" fontId="1" fillId="0" borderId="0" xfId="0" applyFont="1" applyAlignment="1">
      <alignment vertical="top"/>
    </xf>
    <xf numFmtId="14" fontId="7" fillId="0" borderId="17" xfId="0" applyNumberFormat="1" applyFont="1" applyBorder="1" applyAlignment="1">
      <alignment vertical="top" wrapText="1"/>
    </xf>
    <xf numFmtId="49" fontId="1" fillId="0" borderId="18" xfId="0" applyNumberFormat="1" applyFont="1" applyBorder="1" applyAlignment="1">
      <alignment vertical="top"/>
    </xf>
    <xf numFmtId="0" fontId="1" fillId="0" borderId="18" xfId="0" applyFont="1" applyBorder="1" applyAlignment="1">
      <alignment vertical="top"/>
    </xf>
    <xf numFmtId="0" fontId="7" fillId="0" borderId="19" xfId="0" applyFont="1" applyBorder="1" applyAlignment="1">
      <alignment vertical="top" wrapText="1"/>
    </xf>
    <xf numFmtId="0" fontId="1" fillId="0" borderId="17" xfId="0" applyFont="1" applyBorder="1" applyAlignment="1">
      <alignment vertical="top"/>
    </xf>
    <xf numFmtId="0" fontId="1" fillId="0" borderId="19" xfId="0" applyFont="1" applyBorder="1" applyAlignment="1">
      <alignment vertical="top"/>
    </xf>
    <xf numFmtId="15" fontId="1" fillId="0" borderId="17" xfId="0" applyNumberFormat="1" applyFont="1" applyBorder="1" applyAlignment="1">
      <alignment vertical="top"/>
    </xf>
    <xf numFmtId="15" fontId="1" fillId="0" borderId="20" xfId="0" applyNumberFormat="1" applyFont="1" applyBorder="1" applyAlignment="1">
      <alignment vertical="top"/>
    </xf>
    <xf numFmtId="49" fontId="1" fillId="0" borderId="21" xfId="0" applyNumberFormat="1" applyFont="1" applyBorder="1" applyAlignment="1">
      <alignment vertical="top"/>
    </xf>
    <xf numFmtId="0" fontId="1" fillId="0" borderId="21" xfId="0" applyFont="1" applyBorder="1" applyAlignment="1">
      <alignment vertical="top"/>
    </xf>
    <xf numFmtId="0" fontId="1" fillId="0" borderId="22" xfId="0" applyFont="1" applyBorder="1" applyAlignment="1">
      <alignment vertical="top"/>
    </xf>
    <xf numFmtId="1" fontId="1" fillId="2" borderId="1" xfId="0" applyNumberFormat="1" applyFont="1" applyFill="1" applyBorder="1"/>
    <xf numFmtId="0" fontId="1" fillId="2" borderId="1" xfId="0" applyFont="1" applyFill="1" applyBorder="1" applyAlignment="1">
      <alignment horizontal="left"/>
    </xf>
    <xf numFmtId="0" fontId="4" fillId="2" borderId="1" xfId="0" applyFont="1" applyFill="1" applyBorder="1" applyAlignment="1">
      <alignment horizontal="left"/>
    </xf>
    <xf numFmtId="0" fontId="9" fillId="2" borderId="1" xfId="0" applyFont="1" applyFill="1" applyBorder="1" applyAlignment="1">
      <alignment horizontal="left"/>
    </xf>
    <xf numFmtId="0" fontId="10" fillId="2" borderId="1" xfId="0" applyFont="1" applyFill="1" applyBorder="1" applyAlignment="1">
      <alignment horizontal="left"/>
    </xf>
    <xf numFmtId="0" fontId="1" fillId="2" borderId="1" xfId="0" applyFont="1" applyFill="1" applyBorder="1" applyAlignment="1">
      <alignment wrapText="1"/>
    </xf>
    <xf numFmtId="1" fontId="6" fillId="2" borderId="1" xfId="0" applyNumberFormat="1" applyFont="1" applyFill="1" applyBorder="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1" fillId="2" borderId="1" xfId="0" applyFont="1" applyFill="1" applyBorder="1" applyAlignment="1">
      <alignment horizontal="center"/>
    </xf>
    <xf numFmtId="1" fontId="8" fillId="4" borderId="14" xfId="0" applyNumberFormat="1" applyFont="1" applyFill="1" applyBorder="1" applyAlignment="1">
      <alignment horizontal="center" vertical="center"/>
    </xf>
    <xf numFmtId="0" fontId="8" fillId="4" borderId="15" xfId="0" applyFont="1" applyFill="1" applyBorder="1" applyAlignment="1">
      <alignment horizontal="center" vertical="center"/>
    </xf>
    <xf numFmtId="0" fontId="8" fillId="4" borderId="24" xfId="0" applyFont="1" applyFill="1" applyBorder="1" applyAlignment="1">
      <alignment horizontal="center" vertical="center"/>
    </xf>
    <xf numFmtId="0" fontId="8" fillId="4" borderId="16" xfId="0" applyFont="1" applyFill="1" applyBorder="1" applyAlignment="1">
      <alignment horizontal="center"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 fillId="2" borderId="19" xfId="0" applyFont="1" applyFill="1" applyBorder="1" applyAlignment="1">
      <alignment horizontal="left" vertical="center"/>
    </xf>
    <xf numFmtId="0" fontId="1" fillId="2" borderId="18" xfId="0" applyFont="1" applyFill="1" applyBorder="1" applyAlignment="1">
      <alignment horizontal="left" vertical="center"/>
    </xf>
    <xf numFmtId="1" fontId="1" fillId="2" borderId="20" xfId="0" applyNumberFormat="1" applyFont="1" applyFill="1" applyBorder="1" applyAlignment="1">
      <alignment vertical="center"/>
    </xf>
    <xf numFmtId="49" fontId="1" fillId="2" borderId="21" xfId="0" applyNumberFormat="1" applyFont="1" applyFill="1" applyBorder="1" applyAlignment="1">
      <alignment horizontal="left"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12" fillId="2" borderId="25" xfId="0" applyFont="1" applyFill="1" applyBorder="1"/>
    <xf numFmtId="0" fontId="12" fillId="2" borderId="25" xfId="0" applyFont="1" applyFill="1" applyBorder="1" applyAlignment="1">
      <alignment wrapText="1"/>
    </xf>
    <xf numFmtId="0" fontId="12" fillId="2" borderId="1" xfId="0" applyFont="1" applyFill="1" applyBorder="1" applyAlignment="1">
      <alignment wrapText="1"/>
    </xf>
    <xf numFmtId="0" fontId="11" fillId="2" borderId="1" xfId="0" applyFont="1" applyFill="1" applyBorder="1" applyAlignment="1">
      <alignment wrapText="1"/>
    </xf>
    <xf numFmtId="0" fontId="13" fillId="2" borderId="1" xfId="0" applyFont="1" applyFill="1" applyBorder="1" applyAlignment="1">
      <alignment wrapText="1"/>
    </xf>
    <xf numFmtId="0" fontId="12" fillId="2" borderId="1" xfId="0" applyFont="1" applyFill="1" applyBorder="1"/>
    <xf numFmtId="0" fontId="11" fillId="2" borderId="26" xfId="0" applyFont="1" applyFill="1" applyBorder="1" applyAlignment="1">
      <alignment horizontal="left" vertical="center" wrapText="1"/>
    </xf>
    <xf numFmtId="0" fontId="7" fillId="2" borderId="27" xfId="0" applyFont="1" applyFill="1" applyBorder="1" applyAlignment="1">
      <alignment vertical="center" wrapText="1"/>
    </xf>
    <xf numFmtId="0" fontId="7" fillId="2" borderId="28" xfId="0" applyFont="1" applyFill="1" applyBorder="1" applyAlignment="1">
      <alignment vertical="center" wrapText="1"/>
    </xf>
    <xf numFmtId="0" fontId="7" fillId="2" borderId="29" xfId="0" applyFont="1" applyFill="1" applyBorder="1" applyAlignment="1">
      <alignment vertical="center" wrapText="1"/>
    </xf>
    <xf numFmtId="0" fontId="7" fillId="2" borderId="30" xfId="0" applyFont="1" applyFill="1" applyBorder="1" applyAlignment="1">
      <alignment vertical="center" wrapText="1"/>
    </xf>
    <xf numFmtId="0" fontId="7" fillId="2" borderId="1" xfId="0" applyFont="1" applyFill="1" applyBorder="1" applyAlignment="1">
      <alignment vertical="center" wrapText="1"/>
    </xf>
    <xf numFmtId="0" fontId="7" fillId="2" borderId="1" xfId="0" applyFont="1" applyFill="1" applyBorder="1" applyAlignment="1">
      <alignment horizontal="left" vertical="center" wrapText="1"/>
    </xf>
    <xf numFmtId="0" fontId="7" fillId="2" borderId="1" xfId="0" applyFont="1" applyFill="1" applyBorder="1" applyAlignment="1">
      <alignment wrapText="1"/>
    </xf>
    <xf numFmtId="0" fontId="11" fillId="2" borderId="31" xfId="0" applyFont="1" applyFill="1" applyBorder="1" applyAlignment="1">
      <alignment horizontal="left" wrapText="1"/>
    </xf>
    <xf numFmtId="0" fontId="11" fillId="2" borderId="26" xfId="0" applyFont="1" applyFill="1" applyBorder="1" applyAlignment="1">
      <alignment horizontal="left" wrapText="1"/>
    </xf>
    <xf numFmtId="0" fontId="7" fillId="2" borderId="36" xfId="0" applyFont="1" applyFill="1" applyBorder="1" applyAlignment="1">
      <alignment wrapText="1"/>
    </xf>
    <xf numFmtId="0" fontId="7" fillId="2" borderId="34" xfId="0" applyFont="1" applyFill="1" applyBorder="1" applyAlignment="1">
      <alignment wrapText="1"/>
    </xf>
    <xf numFmtId="0" fontId="7" fillId="2" borderId="35" xfId="0" applyFont="1" applyFill="1" applyBorder="1" applyAlignment="1">
      <alignment wrapText="1"/>
    </xf>
    <xf numFmtId="0" fontId="7" fillId="2" borderId="1" xfId="0" applyFont="1" applyFill="1" applyBorder="1" applyAlignment="1">
      <alignment horizontal="center" wrapText="1"/>
    </xf>
    <xf numFmtId="0" fontId="9" fillId="2" borderId="1" xfId="0" applyFont="1" applyFill="1" applyBorder="1"/>
    <xf numFmtId="0" fontId="9" fillId="2" borderId="37" xfId="0" applyFont="1" applyFill="1" applyBorder="1" applyAlignment="1">
      <alignment horizontal="center" vertical="center"/>
    </xf>
    <xf numFmtId="0" fontId="9" fillId="2" borderId="5" xfId="0" applyFont="1" applyFill="1" applyBorder="1" applyAlignment="1">
      <alignment horizontal="center" vertical="center" wrapText="1"/>
    </xf>
    <xf numFmtId="0" fontId="9" fillId="2" borderId="38"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 fillId="2" borderId="1" xfId="0" applyFont="1" applyFill="1" applyBorder="1" applyAlignment="1">
      <alignment horizontal="center" wrapText="1"/>
    </xf>
    <xf numFmtId="0" fontId="13" fillId="2" borderId="1" xfId="0" applyFont="1" applyFill="1" applyBorder="1" applyAlignment="1">
      <alignment horizontal="center" wrapText="1"/>
    </xf>
    <xf numFmtId="0" fontId="12" fillId="2" borderId="39" xfId="0" applyFont="1" applyFill="1" applyBorder="1" applyAlignment="1">
      <alignment horizontal="center" vertical="center"/>
    </xf>
    <xf numFmtId="0" fontId="12" fillId="2" borderId="40" xfId="0" applyFont="1" applyFill="1" applyBorder="1" applyAlignment="1">
      <alignment horizontal="center" vertical="center"/>
    </xf>
    <xf numFmtId="0" fontId="12" fillId="2" borderId="41" xfId="0" applyFont="1" applyFill="1" applyBorder="1" applyAlignment="1">
      <alignment horizontal="center" vertical="center"/>
    </xf>
    <xf numFmtId="0" fontId="12" fillId="2" borderId="42" xfId="0" applyFont="1" applyFill="1" applyBorder="1" applyAlignment="1">
      <alignment horizontal="center" vertical="center"/>
    </xf>
    <xf numFmtId="0" fontId="12" fillId="2"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12" fillId="2" borderId="1" xfId="0" applyFont="1" applyFill="1" applyBorder="1" applyAlignment="1">
      <alignment horizontal="center" wrapText="1"/>
    </xf>
    <xf numFmtId="0" fontId="8" fillId="3" borderId="5" xfId="0" applyFont="1" applyFill="1" applyBorder="1" applyAlignment="1">
      <alignment horizontal="center" vertical="center" wrapText="1"/>
    </xf>
    <xf numFmtId="0" fontId="8" fillId="3" borderId="43"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 fillId="2" borderId="5" xfId="0" applyFont="1" applyFill="1" applyBorder="1" applyAlignment="1">
      <alignment vertical="top" wrapText="1"/>
    </xf>
    <xf numFmtId="0" fontId="13" fillId="2" borderId="1" xfId="0" applyFont="1" applyFill="1" applyBorder="1" applyAlignment="1">
      <alignment vertical="top" wrapText="1"/>
    </xf>
    <xf numFmtId="0" fontId="12" fillId="2" borderId="5" xfId="0" applyFont="1" applyFill="1" applyBorder="1" applyAlignment="1">
      <alignment horizontal="left" vertical="top" wrapText="1"/>
    </xf>
    <xf numFmtId="0" fontId="13" fillId="2" borderId="1" xfId="0" applyFont="1" applyFill="1" applyBorder="1"/>
    <xf numFmtId="0" fontId="11" fillId="2" borderId="1" xfId="0" applyFont="1" applyFill="1" applyBorder="1"/>
    <xf numFmtId="15" fontId="1" fillId="2" borderId="1" xfId="0" applyNumberFormat="1" applyFont="1" applyFill="1" applyBorder="1"/>
    <xf numFmtId="0" fontId="6" fillId="2" borderId="5" xfId="0" applyFont="1" applyFill="1" applyBorder="1" applyAlignment="1">
      <alignment horizontal="left" vertical="center"/>
    </xf>
    <xf numFmtId="0" fontId="6" fillId="2" borderId="47" xfId="0" applyFont="1" applyFill="1" applyBorder="1" applyAlignment="1">
      <alignment horizontal="left"/>
    </xf>
    <xf numFmtId="0" fontId="1" fillId="2" borderId="47" xfId="0" applyFont="1" applyFill="1" applyBorder="1" applyAlignment="1">
      <alignment vertical="top"/>
    </xf>
    <xf numFmtId="0" fontId="6" fillId="2" borderId="5" xfId="0" applyFont="1" applyFill="1" applyBorder="1" applyAlignment="1">
      <alignment vertical="center"/>
    </xf>
    <xf numFmtId="0" fontId="7" fillId="2" borderId="1" xfId="0" applyFont="1" applyFill="1" applyBorder="1"/>
    <xf numFmtId="0" fontId="1" fillId="2" borderId="48" xfId="0" applyFont="1" applyFill="1" applyBorder="1"/>
    <xf numFmtId="0" fontId="8" fillId="3" borderId="49" xfId="0" applyFont="1" applyFill="1" applyBorder="1" applyAlignment="1">
      <alignment horizontal="center"/>
    </xf>
    <xf numFmtId="0" fontId="8" fillId="3" borderId="15" xfId="0" applyFont="1" applyFill="1" applyBorder="1" applyAlignment="1">
      <alignment horizontal="center"/>
    </xf>
    <xf numFmtId="0" fontId="8" fillId="3" borderId="15" xfId="0" applyFont="1" applyFill="1" applyBorder="1" applyAlignment="1">
      <alignment horizontal="center" wrapText="1"/>
    </xf>
    <xf numFmtId="0" fontId="8" fillId="3" borderId="24" xfId="0" applyFont="1" applyFill="1" applyBorder="1" applyAlignment="1">
      <alignment horizontal="center"/>
    </xf>
    <xf numFmtId="0" fontId="1" fillId="2" borderId="51" xfId="0" applyFont="1" applyFill="1" applyBorder="1" applyAlignment="1">
      <alignment horizontal="center"/>
    </xf>
    <xf numFmtId="0" fontId="1" fillId="2" borderId="18" xfId="0" applyFont="1" applyFill="1" applyBorder="1"/>
    <xf numFmtId="0" fontId="1" fillId="2" borderId="18" xfId="0" applyFont="1" applyFill="1" applyBorder="1" applyAlignment="1">
      <alignment horizontal="center"/>
    </xf>
    <xf numFmtId="0" fontId="1" fillId="2" borderId="52" xfId="0" applyFont="1" applyFill="1" applyBorder="1" applyAlignment="1">
      <alignment horizontal="center"/>
    </xf>
    <xf numFmtId="0" fontId="1" fillId="2" borderId="53" xfId="0" applyFont="1" applyFill="1" applyBorder="1" applyAlignment="1">
      <alignment horizontal="center"/>
    </xf>
    <xf numFmtId="0" fontId="14" fillId="3" borderId="54" xfId="0" applyFont="1" applyFill="1" applyBorder="1" applyAlignment="1">
      <alignment horizontal="center"/>
    </xf>
    <xf numFmtId="0" fontId="8" fillId="3" borderId="21" xfId="0" applyFont="1" applyFill="1" applyBorder="1"/>
    <xf numFmtId="0" fontId="14" fillId="3" borderId="21" xfId="0" applyFont="1" applyFill="1" applyBorder="1" applyAlignment="1">
      <alignment horizontal="center"/>
    </xf>
    <xf numFmtId="0" fontId="14" fillId="3" borderId="55"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15" fillId="2" borderId="1" xfId="0" applyNumberFormat="1" applyFont="1" applyFill="1" applyBorder="1" applyAlignment="1">
      <alignment horizontal="right" wrapText="1"/>
    </xf>
    <xf numFmtId="0" fontId="13" fillId="2" borderId="46" xfId="0" applyFont="1" applyFill="1" applyBorder="1" applyAlignment="1">
      <alignment vertical="top" wrapText="1"/>
    </xf>
    <xf numFmtId="0" fontId="1" fillId="2" borderId="46" xfId="0" applyFont="1" applyFill="1" applyBorder="1"/>
    <xf numFmtId="0" fontId="1" fillId="2" borderId="43" xfId="0" applyFont="1" applyFill="1" applyBorder="1" applyAlignment="1">
      <alignment vertical="top" wrapText="1"/>
    </xf>
    <xf numFmtId="0" fontId="0" fillId="0" borderId="46" xfId="0" applyBorder="1"/>
    <xf numFmtId="49" fontId="12" fillId="2" borderId="25" xfId="0" applyNumberFormat="1" applyFont="1" applyFill="1" applyBorder="1"/>
    <xf numFmtId="49" fontId="11" fillId="2" borderId="26" xfId="0" applyNumberFormat="1" applyFont="1" applyFill="1" applyBorder="1" applyAlignment="1">
      <alignment horizontal="left" vertical="center" wrapText="1"/>
    </xf>
    <xf numFmtId="49" fontId="11" fillId="2" borderId="31" xfId="0" applyNumberFormat="1" applyFont="1" applyFill="1" applyBorder="1" applyAlignment="1">
      <alignment horizontal="left" wrapText="1"/>
    </xf>
    <xf numFmtId="49" fontId="11" fillId="2" borderId="26" xfId="0" applyNumberFormat="1" applyFont="1" applyFill="1" applyBorder="1" applyAlignment="1">
      <alignment horizontal="left" wrapText="1"/>
    </xf>
    <xf numFmtId="49" fontId="9" fillId="2" borderId="37" xfId="0" applyNumberFormat="1" applyFont="1" applyFill="1" applyBorder="1" applyAlignment="1">
      <alignment horizontal="center" vertical="center"/>
    </xf>
    <xf numFmtId="49" fontId="12" fillId="2" borderId="39" xfId="0" applyNumberFormat="1" applyFont="1" applyFill="1" applyBorder="1" applyAlignment="1">
      <alignment horizontal="center" vertical="center"/>
    </xf>
    <xf numFmtId="49" fontId="12" fillId="2" borderId="1" xfId="0" applyNumberFormat="1" applyFont="1" applyFill="1" applyBorder="1"/>
    <xf numFmtId="49" fontId="8" fillId="3" borderId="5" xfId="0" applyNumberFormat="1" applyFont="1" applyFill="1" applyBorder="1" applyAlignment="1">
      <alignment horizontal="center" vertical="center" wrapText="1"/>
    </xf>
    <xf numFmtId="49" fontId="1" fillId="2" borderId="5" xfId="0" applyNumberFormat="1" applyFont="1" applyFill="1" applyBorder="1" applyAlignment="1">
      <alignment vertical="top" wrapText="1"/>
    </xf>
    <xf numFmtId="49" fontId="1" fillId="2" borderId="1" xfId="0" applyNumberFormat="1" applyFont="1" applyFill="1" applyBorder="1"/>
    <xf numFmtId="49" fontId="0" fillId="0" borderId="0" xfId="0" applyNumberFormat="1"/>
    <xf numFmtId="0" fontId="16" fillId="2" borderId="5" xfId="0" applyFont="1" applyFill="1" applyBorder="1" applyAlignment="1">
      <alignment vertical="top" wrapText="1"/>
    </xf>
    <xf numFmtId="0" fontId="16" fillId="2" borderId="43" xfId="0" applyFont="1" applyFill="1" applyBorder="1" applyAlignment="1">
      <alignment vertical="top" wrapText="1"/>
    </xf>
    <xf numFmtId="0" fontId="16" fillId="2" borderId="1" xfId="0" applyFont="1" applyFill="1" applyBorder="1"/>
    <xf numFmtId="0" fontId="1" fillId="2" borderId="43" xfId="0" applyFont="1" applyFill="1" applyBorder="1"/>
    <xf numFmtId="0" fontId="13" fillId="2" borderId="46" xfId="0" applyFont="1" applyFill="1" applyBorder="1"/>
    <xf numFmtId="0" fontId="16" fillId="2" borderId="9" xfId="0" applyFont="1" applyFill="1" applyBorder="1" applyAlignment="1">
      <alignment vertical="top" wrapText="1"/>
    </xf>
    <xf numFmtId="0" fontId="17" fillId="2" borderId="27" xfId="0" applyFont="1" applyFill="1" applyBorder="1" applyAlignment="1">
      <alignment vertical="center" wrapText="1"/>
    </xf>
    <xf numFmtId="0" fontId="16" fillId="2" borderId="66" xfId="0" applyFont="1" applyFill="1" applyBorder="1" applyAlignment="1">
      <alignment vertical="top" wrapText="1"/>
    </xf>
    <xf numFmtId="49" fontId="1" fillId="2" borderId="32" xfId="0" applyNumberFormat="1" applyFont="1" applyFill="1" applyBorder="1" applyAlignment="1">
      <alignment vertical="top" wrapText="1"/>
    </xf>
    <xf numFmtId="0" fontId="16" fillId="2" borderId="70" xfId="0" applyFont="1" applyFill="1" applyBorder="1" applyAlignment="1">
      <alignment vertical="top" wrapText="1"/>
    </xf>
    <xf numFmtId="49" fontId="1" fillId="2" borderId="70" xfId="0" applyNumberFormat="1" applyFont="1" applyFill="1" applyBorder="1" applyAlignment="1">
      <alignment vertical="top" wrapText="1"/>
    </xf>
    <xf numFmtId="0" fontId="1" fillId="2" borderId="70" xfId="0" applyFont="1" applyFill="1" applyBorder="1" applyAlignment="1">
      <alignment vertical="top" wrapText="1"/>
    </xf>
    <xf numFmtId="0" fontId="1" fillId="2" borderId="71" xfId="0" applyFont="1" applyFill="1" applyBorder="1" applyAlignment="1">
      <alignment vertical="top" wrapText="1"/>
    </xf>
    <xf numFmtId="0" fontId="19" fillId="2" borderId="5" xfId="0" applyFont="1" applyFill="1" applyBorder="1" applyAlignment="1">
      <alignment vertical="top" wrapText="1"/>
    </xf>
    <xf numFmtId="0" fontId="19" fillId="2" borderId="46" xfId="0" applyFont="1" applyFill="1" applyBorder="1" applyAlignment="1">
      <alignment vertical="top" wrapText="1"/>
    </xf>
    <xf numFmtId="0" fontId="19" fillId="2" borderId="46" xfId="0" applyFont="1" applyFill="1" applyBorder="1"/>
    <xf numFmtId="0" fontId="20" fillId="0" borderId="0" xfId="0" applyFont="1"/>
    <xf numFmtId="49" fontId="19" fillId="2" borderId="32" xfId="0" applyNumberFormat="1" applyFont="1" applyFill="1" applyBorder="1" applyAlignment="1">
      <alignment vertical="top" wrapText="1"/>
    </xf>
    <xf numFmtId="0" fontId="19" fillId="2" borderId="67" xfId="0" applyFont="1" applyFill="1" applyBorder="1" applyAlignment="1">
      <alignment vertical="top" wrapText="1"/>
    </xf>
    <xf numFmtId="0" fontId="19" fillId="2" borderId="47" xfId="0" applyFont="1" applyFill="1" applyBorder="1" applyAlignment="1">
      <alignment vertical="top" wrapText="1"/>
    </xf>
    <xf numFmtId="0" fontId="19" fillId="2" borderId="5" xfId="0" applyFont="1" applyFill="1" applyBorder="1"/>
    <xf numFmtId="0" fontId="19" fillId="2" borderId="1" xfId="0" applyFont="1" applyFill="1" applyBorder="1"/>
    <xf numFmtId="0" fontId="19" fillId="2" borderId="56" xfId="0" applyFont="1" applyFill="1" applyBorder="1" applyAlignment="1">
      <alignment vertical="top" wrapText="1"/>
    </xf>
    <xf numFmtId="0" fontId="19" fillId="2" borderId="56" xfId="0" applyFont="1" applyFill="1" applyBorder="1" applyAlignment="1">
      <alignment vertical="top"/>
    </xf>
    <xf numFmtId="0" fontId="19" fillId="2" borderId="43" xfId="0" applyFont="1" applyFill="1" applyBorder="1" applyAlignment="1">
      <alignment vertical="top" wrapText="1"/>
    </xf>
    <xf numFmtId="0" fontId="20" fillId="0" borderId="56" xfId="0" applyFont="1" applyBorder="1" applyAlignment="1">
      <alignment vertical="top"/>
    </xf>
    <xf numFmtId="0" fontId="19" fillId="2" borderId="5" xfId="0" applyFont="1" applyFill="1" applyBorder="1" applyAlignment="1">
      <alignment horizontal="left" vertical="top" wrapText="1"/>
    </xf>
    <xf numFmtId="0" fontId="19" fillId="2" borderId="1" xfId="0" applyFont="1" applyFill="1" applyBorder="1" applyAlignment="1">
      <alignment vertical="top" wrapText="1"/>
    </xf>
    <xf numFmtId="0" fontId="19" fillId="2" borderId="57" xfId="0" applyFont="1" applyFill="1" applyBorder="1" applyAlignment="1">
      <alignment vertical="top" wrapText="1"/>
    </xf>
    <xf numFmtId="0" fontId="19" fillId="2" borderId="9" xfId="0" applyFont="1" applyFill="1" applyBorder="1" applyAlignment="1">
      <alignment vertical="top" wrapText="1"/>
    </xf>
    <xf numFmtId="0" fontId="19" fillId="2" borderId="56" xfId="0" applyFont="1" applyFill="1" applyBorder="1"/>
    <xf numFmtId="0" fontId="20" fillId="0" borderId="56" xfId="0" applyFont="1" applyBorder="1"/>
    <xf numFmtId="0" fontId="7" fillId="2" borderId="1" xfId="0" applyFont="1" applyFill="1" applyBorder="1" applyAlignment="1">
      <alignment vertical="top" wrapText="1"/>
    </xf>
    <xf numFmtId="49" fontId="11" fillId="2" borderId="31" xfId="0" applyNumberFormat="1" applyFont="1" applyFill="1" applyBorder="1" applyAlignment="1">
      <alignment horizontal="left" vertical="top" wrapText="1"/>
    </xf>
    <xf numFmtId="49" fontId="19" fillId="2" borderId="5" xfId="0" applyNumberFormat="1" applyFont="1" applyFill="1" applyBorder="1" applyAlignment="1">
      <alignment vertical="top" wrapText="1"/>
    </xf>
    <xf numFmtId="0" fontId="19" fillId="2" borderId="59" xfId="0" applyFont="1" applyFill="1" applyBorder="1" applyAlignment="1">
      <alignment vertical="top" wrapText="1"/>
    </xf>
    <xf numFmtId="0" fontId="19" fillId="2" borderId="36" xfId="0" applyFont="1" applyFill="1" applyBorder="1" applyAlignment="1">
      <alignment vertical="top" wrapText="1"/>
    </xf>
    <xf numFmtId="49" fontId="19" fillId="2" borderId="1" xfId="0" applyNumberFormat="1" applyFont="1" applyFill="1" applyBorder="1"/>
    <xf numFmtId="0" fontId="19" fillId="0" borderId="43" xfId="0" applyFont="1" applyBorder="1" applyAlignment="1">
      <alignment vertical="top" wrapText="1"/>
    </xf>
    <xf numFmtId="0" fontId="19" fillId="2" borderId="66" xfId="0" applyFont="1" applyFill="1" applyBorder="1" applyAlignment="1">
      <alignment vertical="top" wrapText="1"/>
    </xf>
    <xf numFmtId="0" fontId="19" fillId="2" borderId="10" xfId="0" applyFont="1" applyFill="1" applyBorder="1" applyAlignment="1">
      <alignment vertical="top" wrapText="1"/>
    </xf>
    <xf numFmtId="0" fontId="20" fillId="0" borderId="46" xfId="0" applyFont="1" applyBorder="1"/>
    <xf numFmtId="0" fontId="19" fillId="2" borderId="43" xfId="0" applyFont="1" applyFill="1" applyBorder="1"/>
    <xf numFmtId="0" fontId="19" fillId="2" borderId="59" xfId="0" applyFont="1" applyFill="1" applyBorder="1"/>
    <xf numFmtId="0" fontId="19" fillId="2" borderId="58" xfId="0" applyFont="1" applyFill="1" applyBorder="1" applyAlignment="1">
      <alignment vertical="top" wrapText="1"/>
    </xf>
    <xf numFmtId="0" fontId="19" fillId="2" borderId="61" xfId="0" applyFont="1" applyFill="1" applyBorder="1" applyAlignment="1">
      <alignment vertical="top" wrapText="1"/>
    </xf>
    <xf numFmtId="0" fontId="19" fillId="0" borderId="56" xfId="0" applyFont="1" applyBorder="1" applyAlignment="1">
      <alignment vertical="top" wrapText="1"/>
    </xf>
    <xf numFmtId="49" fontId="19" fillId="2" borderId="36" xfId="0" applyNumberFormat="1" applyFont="1" applyFill="1" applyBorder="1" applyAlignment="1">
      <alignment vertical="top" wrapText="1"/>
    </xf>
    <xf numFmtId="0" fontId="19" fillId="2" borderId="34" xfId="0" applyFont="1" applyFill="1" applyBorder="1" applyAlignment="1">
      <alignment vertical="top" wrapText="1"/>
    </xf>
    <xf numFmtId="49" fontId="19" fillId="2" borderId="56" xfId="0" applyNumberFormat="1" applyFont="1" applyFill="1" applyBorder="1" applyAlignment="1">
      <alignment vertical="top" wrapText="1"/>
    </xf>
    <xf numFmtId="0" fontId="19" fillId="5" borderId="56" xfId="0" applyFont="1" applyFill="1" applyBorder="1" applyAlignment="1">
      <alignment vertical="top"/>
    </xf>
    <xf numFmtId="0" fontId="19" fillId="2" borderId="68" xfId="0" applyFont="1" applyFill="1" applyBorder="1" applyAlignment="1">
      <alignment vertical="top" wrapText="1"/>
    </xf>
    <xf numFmtId="0" fontId="19" fillId="2" borderId="69" xfId="0" applyFont="1" applyFill="1" applyBorder="1" applyAlignment="1">
      <alignment vertical="top" wrapText="1"/>
    </xf>
    <xf numFmtId="0" fontId="19" fillId="2" borderId="70" xfId="0" applyFont="1" applyFill="1" applyBorder="1" applyAlignment="1">
      <alignment vertical="top" wrapText="1"/>
    </xf>
    <xf numFmtId="0" fontId="19" fillId="0" borderId="32" xfId="0" applyFont="1" applyBorder="1" applyAlignment="1">
      <alignment vertical="top" wrapText="1"/>
    </xf>
    <xf numFmtId="0" fontId="19" fillId="0" borderId="67" xfId="0" applyFont="1" applyBorder="1" applyAlignment="1">
      <alignment vertical="top" wrapText="1"/>
    </xf>
    <xf numFmtId="0" fontId="19" fillId="0" borderId="47" xfId="0" applyFont="1" applyBorder="1" applyAlignment="1">
      <alignment vertical="top" wrapText="1"/>
    </xf>
    <xf numFmtId="0" fontId="19" fillId="0" borderId="5" xfId="0" applyFont="1" applyBorder="1" applyAlignment="1">
      <alignment vertical="top" wrapText="1"/>
    </xf>
    <xf numFmtId="0" fontId="19" fillId="0" borderId="5" xfId="0" applyFont="1" applyBorder="1" applyAlignment="1">
      <alignment horizontal="left" vertical="top" wrapText="1"/>
    </xf>
    <xf numFmtId="0" fontId="19" fillId="0" borderId="1" xfId="0" applyFont="1" applyBorder="1" applyAlignment="1">
      <alignment vertical="top" wrapText="1"/>
    </xf>
    <xf numFmtId="0" fontId="19" fillId="0" borderId="1" xfId="0" applyFont="1" applyBorder="1"/>
    <xf numFmtId="0" fontId="19" fillId="0" borderId="66" xfId="0" applyFont="1" applyBorder="1" applyAlignment="1">
      <alignment vertical="top" wrapText="1"/>
    </xf>
    <xf numFmtId="0" fontId="19" fillId="0" borderId="46" xfId="0" applyFont="1" applyBorder="1" applyAlignment="1">
      <alignment vertical="top" wrapText="1"/>
    </xf>
    <xf numFmtId="0" fontId="19" fillId="0" borderId="46" xfId="0" applyFont="1" applyBorder="1"/>
    <xf numFmtId="0" fontId="19" fillId="0" borderId="10" xfId="0" applyFont="1" applyBorder="1" applyAlignment="1">
      <alignment vertical="top" wrapText="1"/>
    </xf>
    <xf numFmtId="0" fontId="19" fillId="0" borderId="9" xfId="0" applyFont="1" applyBorder="1" applyAlignment="1">
      <alignment vertical="top" wrapText="1"/>
    </xf>
    <xf numFmtId="0" fontId="19" fillId="0" borderId="72" xfId="0" applyFont="1" applyBorder="1" applyAlignment="1">
      <alignment vertical="top" wrapText="1"/>
    </xf>
    <xf numFmtId="0" fontId="19" fillId="0" borderId="32" xfId="0" applyFont="1" applyBorder="1" applyAlignment="1">
      <alignment horizontal="left" vertical="top" wrapText="1"/>
    </xf>
    <xf numFmtId="0" fontId="19" fillId="0" borderId="56" xfId="0" applyFont="1" applyBorder="1"/>
    <xf numFmtId="0" fontId="19" fillId="0" borderId="70" xfId="0" applyFont="1" applyBorder="1" applyAlignment="1">
      <alignment vertical="top" wrapText="1"/>
    </xf>
    <xf numFmtId="0" fontId="19" fillId="0" borderId="56" xfId="0" applyFont="1" applyBorder="1" applyAlignment="1">
      <alignment vertical="top"/>
    </xf>
    <xf numFmtId="49" fontId="1" fillId="2" borderId="18" xfId="0" applyNumberFormat="1" applyFont="1" applyFill="1" applyBorder="1" applyAlignment="1">
      <alignment horizontal="center"/>
    </xf>
    <xf numFmtId="0" fontId="8" fillId="3" borderId="50" xfId="0" applyFont="1" applyFill="1" applyBorder="1" applyAlignment="1">
      <alignment horizontal="center" vertical="top" wrapText="1"/>
    </xf>
    <xf numFmtId="14" fontId="7" fillId="2" borderId="47" xfId="0" applyNumberFormat="1" applyFont="1" applyFill="1" applyBorder="1" applyAlignment="1">
      <alignment vertical="top"/>
    </xf>
    <xf numFmtId="0" fontId="22" fillId="2" borderId="18" xfId="2" applyFill="1" applyBorder="1" applyAlignment="1">
      <alignment horizontal="left" vertical="center"/>
    </xf>
    <xf numFmtId="0" fontId="1" fillId="2" borderId="18" xfId="0" applyFont="1" applyFill="1" applyBorder="1" applyAlignment="1">
      <alignment horizontal="left" vertical="center" wrapText="1"/>
    </xf>
    <xf numFmtId="0" fontId="19" fillId="2" borderId="18" xfId="0" applyFont="1" applyFill="1" applyBorder="1" applyAlignment="1">
      <alignment horizontal="left" vertical="center" wrapText="1"/>
    </xf>
    <xf numFmtId="0" fontId="19" fillId="2" borderId="18" xfId="0" applyFont="1" applyFill="1" applyBorder="1" applyAlignment="1">
      <alignment horizontal="left" vertical="top" wrapText="1"/>
    </xf>
    <xf numFmtId="0" fontId="20" fillId="0" borderId="56" xfId="0" applyFont="1" applyBorder="1" applyAlignment="1">
      <alignment vertical="top" wrapText="1"/>
    </xf>
    <xf numFmtId="49" fontId="23" fillId="3" borderId="5" xfId="0" applyNumberFormat="1" applyFont="1" applyFill="1" applyBorder="1" applyAlignment="1">
      <alignment horizontal="center" vertical="center" wrapText="1"/>
    </xf>
    <xf numFmtId="0" fontId="23" fillId="3" borderId="5" xfId="0" applyFont="1" applyFill="1" applyBorder="1" applyAlignment="1">
      <alignment horizontal="center" vertical="center" wrapText="1"/>
    </xf>
    <xf numFmtId="0" fontId="23" fillId="3" borderId="43" xfId="0" applyFont="1" applyFill="1" applyBorder="1" applyAlignment="1">
      <alignment horizontal="center" vertical="center" wrapText="1"/>
    </xf>
    <xf numFmtId="49" fontId="24" fillId="2" borderId="5" xfId="0" applyNumberFormat="1" applyFont="1" applyFill="1" applyBorder="1" applyAlignment="1">
      <alignment vertical="top" wrapText="1"/>
    </xf>
    <xf numFmtId="0" fontId="24" fillId="2" borderId="5" xfId="0" applyFont="1" applyFill="1" applyBorder="1" applyAlignment="1">
      <alignment vertical="top" wrapText="1"/>
    </xf>
    <xf numFmtId="0" fontId="24" fillId="2" borderId="5" xfId="0" applyFont="1" applyFill="1" applyBorder="1" applyAlignment="1">
      <alignment horizontal="left" vertical="top" wrapText="1"/>
    </xf>
    <xf numFmtId="0" fontId="24" fillId="2" borderId="43" xfId="0" applyFont="1" applyFill="1" applyBorder="1" applyAlignment="1">
      <alignment vertical="top" wrapText="1"/>
    </xf>
    <xf numFmtId="0" fontId="24" fillId="2" borderId="43" xfId="0" quotePrefix="1" applyFont="1" applyFill="1" applyBorder="1" applyAlignment="1">
      <alignment vertical="top" wrapText="1"/>
    </xf>
    <xf numFmtId="0" fontId="24" fillId="2" borderId="63" xfId="0" applyFont="1" applyFill="1" applyBorder="1" applyAlignment="1">
      <alignment vertical="top" wrapText="1"/>
    </xf>
    <xf numFmtId="0" fontId="24" fillId="2" borderId="59" xfId="0" applyFont="1" applyFill="1" applyBorder="1" applyAlignment="1">
      <alignment vertical="top" wrapText="1"/>
    </xf>
    <xf numFmtId="0" fontId="24" fillId="2" borderId="60" xfId="0" applyFont="1" applyFill="1" applyBorder="1" applyAlignment="1">
      <alignment vertical="top" wrapText="1"/>
    </xf>
    <xf numFmtId="0" fontId="24" fillId="2" borderId="46" xfId="0" applyFont="1" applyFill="1" applyBorder="1" applyAlignment="1">
      <alignment vertical="top" wrapText="1"/>
    </xf>
    <xf numFmtId="0" fontId="24" fillId="2" borderId="64" xfId="0" applyFont="1" applyFill="1" applyBorder="1" applyAlignment="1">
      <alignment vertical="top" wrapText="1"/>
    </xf>
    <xf numFmtId="0" fontId="24" fillId="2" borderId="65" xfId="0" applyFont="1" applyFill="1" applyBorder="1" applyAlignment="1">
      <alignment vertical="top" wrapText="1"/>
    </xf>
    <xf numFmtId="0" fontId="24" fillId="2" borderId="62" xfId="0" applyFont="1" applyFill="1" applyBorder="1" applyAlignment="1">
      <alignment vertical="top" wrapText="1"/>
    </xf>
    <xf numFmtId="0" fontId="24" fillId="2" borderId="36" xfId="0" applyFont="1" applyFill="1" applyBorder="1" applyAlignment="1">
      <alignment vertical="top" wrapText="1"/>
    </xf>
    <xf numFmtId="0" fontId="24" fillId="2" borderId="56" xfId="0" applyFont="1" applyFill="1" applyBorder="1" applyAlignment="1">
      <alignment vertical="top" wrapText="1"/>
    </xf>
    <xf numFmtId="0" fontId="24" fillId="2" borderId="57" xfId="0" applyFont="1" applyFill="1" applyBorder="1" applyAlignment="1">
      <alignment vertical="top" wrapText="1"/>
    </xf>
    <xf numFmtId="0" fontId="24" fillId="0" borderId="43" xfId="0" applyFont="1" applyBorder="1" applyAlignment="1">
      <alignment vertical="top" wrapText="1"/>
    </xf>
    <xf numFmtId="0" fontId="24" fillId="2" borderId="56" xfId="0" applyFont="1" applyFill="1" applyBorder="1"/>
    <xf numFmtId="0" fontId="24" fillId="2" borderId="56" xfId="0" applyFont="1" applyFill="1" applyBorder="1" applyAlignment="1">
      <alignment vertical="top"/>
    </xf>
    <xf numFmtId="0" fontId="7" fillId="2" borderId="32" xfId="0" applyFont="1" applyFill="1" applyBorder="1" applyAlignment="1">
      <alignment horizontal="left" vertical="top" wrapText="1"/>
    </xf>
    <xf numFmtId="0" fontId="7" fillId="2" borderId="33" xfId="0" applyFont="1" applyFill="1" applyBorder="1" applyAlignment="1">
      <alignment horizontal="left" vertical="top" wrapText="1"/>
    </xf>
    <xf numFmtId="0" fontId="7" fillId="2" borderId="35" xfId="0" applyFont="1" applyFill="1" applyBorder="1" applyAlignment="1">
      <alignment horizontal="left" vertical="top" wrapText="1"/>
    </xf>
    <xf numFmtId="0" fontId="4" fillId="0" borderId="2" xfId="0" applyFont="1" applyBorder="1" applyAlignment="1">
      <alignment horizontal="center" vertical="center"/>
    </xf>
    <xf numFmtId="0" fontId="5" fillId="0" borderId="3" xfId="0" applyFont="1" applyBorder="1"/>
    <xf numFmtId="0" fontId="5" fillId="0" borderId="4" xfId="0" applyFont="1" applyBorder="1"/>
    <xf numFmtId="0" fontId="7" fillId="0" borderId="2" xfId="0" applyFont="1" applyBorder="1" applyAlignment="1">
      <alignment horizontal="left"/>
    </xf>
    <xf numFmtId="0" fontId="6" fillId="2" borderId="6" xfId="0" applyFont="1" applyFill="1" applyBorder="1" applyAlignment="1">
      <alignment horizontal="left" vertical="center"/>
    </xf>
    <xf numFmtId="0" fontId="5" fillId="0" borderId="10" xfId="0" applyFont="1" applyBorder="1"/>
    <xf numFmtId="0" fontId="7" fillId="0" borderId="7" xfId="0" applyFont="1" applyBorder="1" applyAlignment="1">
      <alignment horizontal="left" vertical="center"/>
    </xf>
    <xf numFmtId="0" fontId="5" fillId="0" borderId="8" xfId="0" applyFont="1" applyBorder="1"/>
    <xf numFmtId="0" fontId="5" fillId="0" borderId="9" xfId="0" applyFont="1" applyBorder="1"/>
    <xf numFmtId="0" fontId="5" fillId="0" borderId="11" xfId="0" applyFont="1" applyBorder="1"/>
    <xf numFmtId="0" fontId="5" fillId="0" borderId="12" xfId="0" applyFont="1" applyBorder="1"/>
    <xf numFmtId="0" fontId="5" fillId="0" borderId="13" xfId="0" applyFont="1" applyBorder="1"/>
    <xf numFmtId="1" fontId="6" fillId="2" borderId="2" xfId="0" applyNumberFormat="1" applyFont="1" applyFill="1" applyBorder="1"/>
    <xf numFmtId="0" fontId="5" fillId="0" borderId="23" xfId="0" applyFont="1" applyBorder="1"/>
    <xf numFmtId="0" fontId="7" fillId="2" borderId="2" xfId="0" applyFont="1" applyFill="1" applyBorder="1" applyAlignment="1">
      <alignment horizontal="left"/>
    </xf>
    <xf numFmtId="1" fontId="6" fillId="2" borderId="2" xfId="0" applyNumberFormat="1" applyFont="1" applyFill="1" applyBorder="1" applyAlignment="1">
      <alignment vertical="center" wrapText="1"/>
    </xf>
    <xf numFmtId="0" fontId="7" fillId="2" borderId="2" xfId="0" applyFont="1" applyFill="1" applyBorder="1" applyAlignment="1">
      <alignment vertical="top" wrapText="1"/>
    </xf>
    <xf numFmtId="0" fontId="6" fillId="2" borderId="2" xfId="0" applyFont="1" applyFill="1" applyBorder="1" applyAlignment="1">
      <alignment horizontal="left"/>
    </xf>
    <xf numFmtId="0" fontId="5" fillId="0" borderId="3" xfId="0" applyFont="1" applyBorder="1" applyAlignment="1">
      <alignment wrapText="1"/>
    </xf>
    <xf numFmtId="0" fontId="5" fillId="0" borderId="4" xfId="0" applyFont="1" applyBorder="1" applyAlignment="1">
      <alignment wrapText="1"/>
    </xf>
    <xf numFmtId="0" fontId="4" fillId="2" borderId="44" xfId="0" applyFont="1" applyFill="1" applyBorder="1" applyAlignment="1">
      <alignment horizontal="center"/>
    </xf>
    <xf numFmtId="0" fontId="5" fillId="0" borderId="45" xfId="0" applyFont="1" applyBorder="1"/>
    <xf numFmtId="0" fontId="5" fillId="0" borderId="46" xfId="0" applyFont="1" applyBorder="1"/>
  </cellXfs>
  <cellStyles count="3">
    <cellStyle name="Hyperlink" xfId="2" builtinId="8"/>
    <cellStyle name="Normal" xfId="0" builtinId="0"/>
    <cellStyle name="Normal 2" xfId="1" xr:uid="{A9AE7214-A786-4544-A76F-3E25A4DB568B}"/>
  </cellStyles>
  <dxfs count="106">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
      <fill>
        <patternFill patternType="solid">
          <fgColor rgb="FFCCCCCC"/>
          <bgColor rgb="FFCCCCCC"/>
        </patternFill>
      </fill>
    </dxf>
    <dxf>
      <fill>
        <patternFill patternType="solid">
          <fgColor rgb="FFFF0000"/>
          <bgColor rgb="FFFF0000"/>
        </patternFill>
      </fill>
    </dxf>
    <dxf>
      <fill>
        <patternFill patternType="solid">
          <fgColor rgb="FF00FF00"/>
          <bgColor rgb="FF00FF00"/>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CCFFCC"/>
          <bgColor rgb="FFCCFFCC"/>
        </patternFill>
      </fill>
    </dxf>
    <dxf>
      <fill>
        <patternFill patternType="solid">
          <fgColor rgb="FF008080"/>
          <bgColor rgb="FF008080"/>
        </patternFill>
      </fill>
    </dxf>
    <dxf>
      <fill>
        <patternFill patternType="solid">
          <fgColor rgb="FFDD0806"/>
          <bgColor rgb="FFDD0806"/>
        </patternFill>
      </fill>
    </dxf>
    <dxf>
      <fill>
        <patternFill patternType="solid">
          <fgColor rgb="FFD8D8D8"/>
          <bgColor rgb="FFD8D8D8"/>
        </patternFill>
      </fill>
    </dxf>
    <dxf>
      <font>
        <color rgb="FF006411"/>
      </font>
      <fill>
        <patternFill patternType="solid">
          <fgColor rgb="FF00FF00"/>
          <bgColor rgb="FF00FF0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8.xml.rels><?xml version="1.0" encoding="UTF-8" standalone="yes"?>
<Relationships xmlns="http://schemas.openxmlformats.org/package/2006/relationships"><Relationship Id="rId1" Type="http://customschemas.google.com/relationships/workbookmetadata" Target="commentsmeta1"/></Relationships>
</file>

<file path=xl/_rels/comments9.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F629E-566A-41A5-B01B-85EE88AB0DA6}">
  <dimension ref="A1:Z987"/>
  <sheetViews>
    <sheetView tabSelected="1" zoomScale="69" workbookViewId="0">
      <pane ySplit="8" topLeftCell="A22" activePane="bottomLeft" state="frozen"/>
      <selection pane="bottomLeft" activeCell="I17" sqref="I17"/>
    </sheetView>
  </sheetViews>
  <sheetFormatPr defaultColWidth="12.6640625" defaultRowHeight="15" customHeight="1" x14ac:dyDescent="0.2"/>
  <cols>
    <col min="1" max="1" width="14.33203125" style="134" customWidth="1"/>
    <col min="2" max="5" width="20.33203125" customWidth="1"/>
    <col min="6" max="7" width="25" customWidth="1"/>
    <col min="8" max="8" width="30.109375" customWidth="1"/>
    <col min="9" max="9" width="15.109375" customWidth="1"/>
    <col min="10" max="10" width="16.33203125" customWidth="1"/>
    <col min="11" max="11" width="15.88671875" customWidth="1"/>
    <col min="12" max="12" width="8.109375" customWidth="1"/>
    <col min="13" max="13" width="10" hidden="1" customWidth="1"/>
    <col min="14" max="26" width="10" customWidth="1"/>
  </cols>
  <sheetData>
    <row r="1" spans="1:26" ht="13.5" customHeight="1" thickBot="1" x14ac:dyDescent="0.3">
      <c r="A1" s="124"/>
      <c r="B1" s="55"/>
      <c r="C1" s="55"/>
      <c r="D1" s="56"/>
      <c r="E1" s="56"/>
      <c r="F1" s="56"/>
      <c r="G1" s="56"/>
      <c r="H1" s="56"/>
      <c r="I1" s="36"/>
      <c r="J1" s="57"/>
      <c r="K1" s="36"/>
      <c r="L1" s="58"/>
      <c r="M1" s="59"/>
      <c r="N1" s="59"/>
      <c r="O1" s="59"/>
      <c r="P1" s="59"/>
      <c r="Q1" s="59"/>
      <c r="R1" s="59"/>
      <c r="S1" s="59"/>
      <c r="T1" s="59"/>
      <c r="U1" s="59"/>
      <c r="V1" s="59"/>
      <c r="W1" s="59"/>
      <c r="X1" s="59"/>
      <c r="Y1" s="59"/>
      <c r="Z1" s="59"/>
    </row>
    <row r="2" spans="1:26" ht="28.5" customHeight="1" x14ac:dyDescent="0.25">
      <c r="A2" s="125" t="s">
        <v>31</v>
      </c>
      <c r="B2" s="61" t="s">
        <v>449</v>
      </c>
      <c r="C2" s="62"/>
      <c r="D2" s="63"/>
      <c r="E2" s="64"/>
      <c r="F2" s="65"/>
      <c r="G2" s="66"/>
      <c r="H2" s="67"/>
      <c r="I2" s="67"/>
      <c r="J2" s="36"/>
      <c r="K2" s="36"/>
      <c r="L2" s="58"/>
      <c r="M2" s="59" t="s">
        <v>32</v>
      </c>
      <c r="N2" s="59"/>
      <c r="O2" s="59"/>
      <c r="P2" s="59"/>
      <c r="Q2" s="59"/>
      <c r="R2" s="59"/>
      <c r="S2" s="59"/>
      <c r="T2" s="59"/>
      <c r="U2" s="59"/>
      <c r="V2" s="59"/>
      <c r="W2" s="59"/>
      <c r="X2" s="59"/>
      <c r="Y2" s="59"/>
      <c r="Z2" s="59"/>
    </row>
    <row r="3" spans="1:26" ht="34.5" customHeight="1" x14ac:dyDescent="0.25">
      <c r="A3" s="126" t="s">
        <v>33</v>
      </c>
      <c r="B3" s="235" t="s">
        <v>657</v>
      </c>
      <c r="C3" s="236"/>
      <c r="D3" s="236"/>
      <c r="E3" s="237"/>
      <c r="F3" s="65"/>
      <c r="G3" s="66"/>
      <c r="H3" s="67"/>
      <c r="I3" s="67"/>
      <c r="J3" s="36"/>
      <c r="K3" s="36"/>
      <c r="L3" s="58"/>
      <c r="M3" s="59" t="s">
        <v>34</v>
      </c>
      <c r="N3" s="59"/>
      <c r="O3" s="59"/>
      <c r="P3" s="59"/>
      <c r="Q3" s="59"/>
      <c r="R3" s="59"/>
      <c r="S3" s="59"/>
      <c r="T3" s="59"/>
      <c r="U3" s="59"/>
      <c r="V3" s="59"/>
      <c r="W3" s="59"/>
      <c r="X3" s="59"/>
      <c r="Y3" s="59"/>
      <c r="Z3" s="59"/>
    </row>
    <row r="4" spans="1:26" ht="28.8" customHeight="1" x14ac:dyDescent="0.25">
      <c r="A4" s="127" t="s">
        <v>35</v>
      </c>
      <c r="B4" s="70" t="s">
        <v>525</v>
      </c>
      <c r="C4" s="71"/>
      <c r="D4" s="71"/>
      <c r="E4" s="72"/>
      <c r="F4" s="67"/>
      <c r="G4" s="73"/>
      <c r="H4" s="67"/>
      <c r="I4" s="67"/>
      <c r="J4" s="36"/>
      <c r="K4" s="36"/>
      <c r="L4" s="58"/>
      <c r="M4" s="74"/>
      <c r="N4" s="59"/>
      <c r="O4" s="59"/>
      <c r="P4" s="59"/>
      <c r="Q4" s="59"/>
      <c r="R4" s="59"/>
      <c r="S4" s="59"/>
      <c r="T4" s="59"/>
      <c r="U4" s="59"/>
      <c r="V4" s="59"/>
      <c r="W4" s="59"/>
      <c r="X4" s="59"/>
      <c r="Y4" s="59"/>
      <c r="Z4" s="59"/>
    </row>
    <row r="5" spans="1:26" ht="33.6" customHeight="1" x14ac:dyDescent="0.25">
      <c r="A5" s="128" t="s">
        <v>32</v>
      </c>
      <c r="B5" s="76" t="s">
        <v>34</v>
      </c>
      <c r="C5" s="76" t="s">
        <v>36</v>
      </c>
      <c r="D5" s="76" t="s">
        <v>37</v>
      </c>
      <c r="E5" s="77" t="s">
        <v>38</v>
      </c>
      <c r="F5" s="59"/>
      <c r="G5" s="78"/>
      <c r="H5" s="78"/>
      <c r="I5" s="78"/>
      <c r="J5" s="79"/>
      <c r="K5" s="79"/>
      <c r="L5" s="80"/>
      <c r="M5" s="59" t="s">
        <v>39</v>
      </c>
      <c r="N5" s="59"/>
      <c r="O5" s="59"/>
      <c r="P5" s="59"/>
      <c r="Q5" s="59"/>
      <c r="R5" s="59"/>
      <c r="S5" s="59"/>
      <c r="T5" s="59"/>
      <c r="U5" s="59"/>
      <c r="V5" s="59"/>
      <c r="W5" s="59"/>
      <c r="X5" s="59"/>
      <c r="Y5" s="59"/>
      <c r="Z5" s="59"/>
    </row>
    <row r="6" spans="1:26" ht="27" customHeight="1" thickBot="1" x14ac:dyDescent="0.3">
      <c r="A6" s="129">
        <f>COUNTIF(I9:I982,"Pass")</f>
        <v>12</v>
      </c>
      <c r="B6" s="82">
        <f>COUNTIF(I9:I982,"Fail")</f>
        <v>1</v>
      </c>
      <c r="C6" s="82">
        <f>E6-D6-A6-B6</f>
        <v>1</v>
      </c>
      <c r="D6" s="83">
        <f>COUNTIF(H$9:I$982,"N/A")</f>
        <v>1</v>
      </c>
      <c r="E6" s="84">
        <f>COUNTA(A9:A986)</f>
        <v>15</v>
      </c>
      <c r="F6" s="59"/>
      <c r="G6" s="85"/>
      <c r="H6" s="85"/>
      <c r="I6" s="86"/>
      <c r="J6" s="79"/>
      <c r="K6" s="79"/>
      <c r="L6" s="80"/>
      <c r="M6" s="59" t="s">
        <v>37</v>
      </c>
      <c r="N6" s="59"/>
      <c r="O6" s="59"/>
      <c r="P6" s="59"/>
      <c r="Q6" s="59"/>
      <c r="R6" s="59"/>
      <c r="S6" s="59"/>
      <c r="T6" s="59"/>
      <c r="U6" s="59"/>
      <c r="V6" s="59"/>
      <c r="W6" s="59"/>
      <c r="X6" s="59"/>
      <c r="Y6" s="59"/>
      <c r="Z6" s="59"/>
    </row>
    <row r="7" spans="1:26" ht="16.8" customHeight="1" x14ac:dyDescent="0.25">
      <c r="A7" s="130"/>
      <c r="B7" s="59"/>
      <c r="C7" s="59"/>
      <c r="D7" s="59"/>
      <c r="E7" s="59"/>
      <c r="F7" s="59"/>
      <c r="G7" s="59"/>
      <c r="H7" s="87"/>
      <c r="I7" s="79"/>
      <c r="J7" s="79"/>
      <c r="K7" s="79"/>
      <c r="L7" s="80"/>
      <c r="M7" s="59"/>
      <c r="N7" s="59"/>
      <c r="O7" s="59"/>
      <c r="P7" s="59"/>
      <c r="Q7" s="59"/>
      <c r="R7" s="59"/>
      <c r="S7" s="59"/>
      <c r="T7" s="59"/>
      <c r="U7" s="59"/>
      <c r="V7" s="59"/>
      <c r="W7" s="59"/>
      <c r="X7" s="59"/>
      <c r="Y7" s="59"/>
      <c r="Z7" s="59"/>
    </row>
    <row r="8" spans="1:26" ht="25.8" customHeight="1" x14ac:dyDescent="0.25">
      <c r="A8" s="131" t="s">
        <v>40</v>
      </c>
      <c r="B8" s="88" t="s">
        <v>41</v>
      </c>
      <c r="C8" s="88" t="s">
        <v>42</v>
      </c>
      <c r="D8" s="88" t="s">
        <v>43</v>
      </c>
      <c r="E8" s="88" t="s">
        <v>44</v>
      </c>
      <c r="F8" s="88" t="s">
        <v>45</v>
      </c>
      <c r="G8" s="88" t="s">
        <v>46</v>
      </c>
      <c r="H8" s="88" t="s">
        <v>47</v>
      </c>
      <c r="I8" s="89" t="s">
        <v>48</v>
      </c>
      <c r="J8" s="89" t="s">
        <v>49</v>
      </c>
      <c r="K8" s="88" t="s">
        <v>50</v>
      </c>
      <c r="L8" s="90"/>
      <c r="M8" s="59"/>
      <c r="N8" s="59"/>
      <c r="O8" s="59"/>
      <c r="P8" s="59"/>
      <c r="Q8" s="59"/>
      <c r="R8" s="59"/>
      <c r="S8" s="59"/>
      <c r="T8" s="59"/>
      <c r="U8" s="59"/>
      <c r="V8" s="59"/>
      <c r="W8" s="59"/>
      <c r="X8" s="59"/>
      <c r="Y8" s="59"/>
      <c r="Z8" s="59"/>
    </row>
    <row r="9" spans="1:26" s="151" customFormat="1" ht="76.8" customHeight="1" x14ac:dyDescent="0.25">
      <c r="A9" s="152" t="str">
        <f t="shared" ref="A9:A23" si="0">$B$2&amp;"-"&amp;ROW()-8</f>
        <v>Quản lí hóa đơn-1</v>
      </c>
      <c r="B9" s="153" t="s">
        <v>59</v>
      </c>
      <c r="C9" s="154"/>
      <c r="D9" s="148" t="s">
        <v>450</v>
      </c>
      <c r="E9" s="148" t="s">
        <v>667</v>
      </c>
      <c r="F9" s="148" t="s">
        <v>658</v>
      </c>
      <c r="G9" s="148" t="s">
        <v>455</v>
      </c>
      <c r="H9" s="161" t="s">
        <v>659</v>
      </c>
      <c r="I9" s="148" t="s">
        <v>32</v>
      </c>
      <c r="J9" s="148"/>
      <c r="K9" s="148"/>
      <c r="L9" s="162"/>
      <c r="M9" s="156"/>
      <c r="N9" s="156"/>
      <c r="O9" s="156"/>
      <c r="P9" s="156"/>
      <c r="Q9" s="156"/>
      <c r="R9" s="156"/>
      <c r="S9" s="156"/>
      <c r="T9" s="156"/>
      <c r="U9" s="156"/>
      <c r="V9" s="156"/>
      <c r="W9" s="156"/>
      <c r="X9" s="156"/>
      <c r="Y9" s="156"/>
      <c r="Z9" s="156"/>
    </row>
    <row r="10" spans="1:26" s="151" customFormat="1" ht="74.400000000000006" customHeight="1" x14ac:dyDescent="0.25">
      <c r="A10" s="182" t="str">
        <f t="shared" si="0"/>
        <v>Quản lí hóa đơn-2</v>
      </c>
      <c r="B10" s="174"/>
      <c r="C10" s="154"/>
      <c r="D10" s="148" t="s">
        <v>451</v>
      </c>
      <c r="E10" s="148" t="s">
        <v>452</v>
      </c>
      <c r="F10" s="148" t="s">
        <v>346</v>
      </c>
      <c r="G10" s="148" t="s">
        <v>456</v>
      </c>
      <c r="H10" s="161" t="s">
        <v>453</v>
      </c>
      <c r="I10" s="148" t="s">
        <v>34</v>
      </c>
      <c r="J10" s="148"/>
      <c r="K10" s="148" t="s">
        <v>669</v>
      </c>
      <c r="L10" s="149"/>
      <c r="M10" s="150"/>
      <c r="N10" s="150"/>
      <c r="O10" s="150"/>
      <c r="P10" s="150"/>
      <c r="Q10" s="150"/>
      <c r="R10" s="150"/>
      <c r="S10" s="150"/>
      <c r="T10" s="150"/>
      <c r="U10" s="150"/>
      <c r="V10" s="150"/>
      <c r="W10" s="150"/>
      <c r="X10" s="150"/>
      <c r="Y10" s="150"/>
      <c r="Z10" s="150"/>
    </row>
    <row r="11" spans="1:26" s="151" customFormat="1" ht="81" customHeight="1" x14ac:dyDescent="0.25">
      <c r="A11" s="182" t="str">
        <f t="shared" si="0"/>
        <v>Quản lí hóa đơn-3</v>
      </c>
      <c r="B11" s="175" t="s">
        <v>60</v>
      </c>
      <c r="C11" s="148"/>
      <c r="D11" s="148" t="s">
        <v>64</v>
      </c>
      <c r="E11" s="148" t="s">
        <v>667</v>
      </c>
      <c r="F11" s="148" t="s">
        <v>65</v>
      </c>
      <c r="G11" s="148"/>
      <c r="H11" s="148" t="s">
        <v>474</v>
      </c>
      <c r="I11" s="148" t="s">
        <v>32</v>
      </c>
      <c r="J11" s="148"/>
      <c r="K11" s="148"/>
      <c r="L11" s="162"/>
      <c r="M11" s="156"/>
      <c r="N11" s="156"/>
      <c r="O11" s="156"/>
      <c r="P11" s="156"/>
      <c r="Q11" s="156"/>
      <c r="R11" s="156"/>
      <c r="S11" s="156"/>
      <c r="T11" s="156"/>
      <c r="U11" s="156"/>
      <c r="V11" s="156"/>
      <c r="W11" s="156"/>
      <c r="X11" s="156"/>
      <c r="Y11" s="156"/>
      <c r="Z11" s="156"/>
    </row>
    <row r="12" spans="1:26" s="151" customFormat="1" ht="55.05" customHeight="1" x14ac:dyDescent="0.25">
      <c r="A12" s="182" t="str">
        <f t="shared" si="0"/>
        <v>Quản lí hóa đơn-4</v>
      </c>
      <c r="B12" s="148"/>
      <c r="C12" s="148"/>
      <c r="D12" s="148" t="s">
        <v>67</v>
      </c>
      <c r="E12" s="148" t="s">
        <v>667</v>
      </c>
      <c r="F12" s="148" t="s">
        <v>153</v>
      </c>
      <c r="G12" s="148"/>
      <c r="H12" s="148" t="s">
        <v>154</v>
      </c>
      <c r="I12" s="148" t="s">
        <v>32</v>
      </c>
      <c r="J12" s="148"/>
      <c r="K12" s="148"/>
      <c r="L12" s="149"/>
      <c r="M12" s="150"/>
      <c r="N12" s="150"/>
      <c r="O12" s="150"/>
      <c r="P12" s="150"/>
      <c r="Q12" s="150"/>
      <c r="R12" s="150"/>
      <c r="S12" s="150"/>
      <c r="T12" s="150"/>
      <c r="U12" s="150"/>
      <c r="V12" s="150"/>
      <c r="W12" s="150"/>
      <c r="X12" s="150"/>
      <c r="Y12" s="150"/>
      <c r="Z12" s="150"/>
    </row>
    <row r="13" spans="1:26" s="151" customFormat="1" ht="55.05" customHeight="1" x14ac:dyDescent="0.25">
      <c r="A13" s="182" t="str">
        <f t="shared" si="0"/>
        <v>Quản lí hóa đơn-5</v>
      </c>
      <c r="B13" s="148"/>
      <c r="C13" s="148"/>
      <c r="D13" s="148" t="s">
        <v>68</v>
      </c>
      <c r="E13" s="148" t="s">
        <v>667</v>
      </c>
      <c r="F13" s="148" t="s">
        <v>155</v>
      </c>
      <c r="G13" s="148"/>
      <c r="H13" s="148" t="s">
        <v>338</v>
      </c>
      <c r="I13" s="148" t="s">
        <v>32</v>
      </c>
      <c r="J13" s="148"/>
      <c r="K13" s="148"/>
      <c r="L13" s="149"/>
      <c r="M13" s="150"/>
      <c r="N13" s="150"/>
      <c r="O13" s="150"/>
      <c r="P13" s="150"/>
      <c r="Q13" s="150"/>
      <c r="R13" s="150"/>
      <c r="S13" s="150"/>
      <c r="T13" s="150"/>
      <c r="U13" s="150"/>
      <c r="V13" s="150"/>
      <c r="W13" s="150"/>
      <c r="X13" s="150"/>
      <c r="Y13" s="150"/>
      <c r="Z13" s="150"/>
    </row>
    <row r="14" spans="1:26" s="151" customFormat="1" ht="55.05" customHeight="1" x14ac:dyDescent="0.25">
      <c r="A14" s="182" t="str">
        <f t="shared" si="0"/>
        <v>Quản lí hóa đơn-6</v>
      </c>
      <c r="B14" s="148"/>
      <c r="C14" s="148"/>
      <c r="D14" s="148" t="s">
        <v>69</v>
      </c>
      <c r="E14" s="148" t="s">
        <v>667</v>
      </c>
      <c r="F14" s="148" t="s">
        <v>303</v>
      </c>
      <c r="G14" s="148"/>
      <c r="H14" s="148" t="s">
        <v>342</v>
      </c>
      <c r="I14" s="148" t="s">
        <v>32</v>
      </c>
      <c r="J14" s="148"/>
      <c r="K14" s="148"/>
      <c r="L14" s="149"/>
      <c r="M14" s="150"/>
      <c r="N14" s="150"/>
      <c r="O14" s="150"/>
      <c r="P14" s="150"/>
      <c r="Q14" s="150"/>
      <c r="R14" s="150"/>
      <c r="S14" s="150"/>
      <c r="T14" s="150"/>
      <c r="U14" s="150"/>
      <c r="V14" s="150"/>
      <c r="W14" s="150"/>
      <c r="X14" s="150"/>
      <c r="Y14" s="150"/>
      <c r="Z14" s="150"/>
    </row>
    <row r="15" spans="1:26" s="151" customFormat="1" ht="55.05" customHeight="1" x14ac:dyDescent="0.25">
      <c r="A15" s="182" t="str">
        <f t="shared" si="0"/>
        <v>Quản lí hóa đơn-7</v>
      </c>
      <c r="B15" s="159" t="s">
        <v>62</v>
      </c>
      <c r="C15" s="159" t="s">
        <v>457</v>
      </c>
      <c r="D15" s="171" t="s">
        <v>458</v>
      </c>
      <c r="E15" s="157" t="s">
        <v>663</v>
      </c>
      <c r="F15" s="164" t="s">
        <v>459</v>
      </c>
      <c r="G15" s="159"/>
      <c r="H15" s="159" t="s">
        <v>660</v>
      </c>
      <c r="I15" s="159" t="s">
        <v>32</v>
      </c>
      <c r="J15" s="159"/>
      <c r="K15" s="159"/>
      <c r="L15" s="149"/>
      <c r="M15" s="150"/>
      <c r="N15" s="150"/>
      <c r="O15" s="150"/>
      <c r="P15" s="150"/>
      <c r="Q15" s="150"/>
      <c r="R15" s="150"/>
      <c r="S15" s="150"/>
      <c r="T15" s="150"/>
      <c r="U15" s="150"/>
      <c r="V15" s="150"/>
      <c r="W15" s="150"/>
      <c r="X15" s="150"/>
      <c r="Y15" s="150"/>
      <c r="Z15" s="150"/>
    </row>
    <row r="16" spans="1:26" s="151" customFormat="1" ht="55.05" customHeight="1" x14ac:dyDescent="0.25">
      <c r="A16" s="182" t="str">
        <f t="shared" si="0"/>
        <v>Quản lí hóa đơn-8</v>
      </c>
      <c r="B16" s="159"/>
      <c r="C16" s="159"/>
      <c r="D16" s="159" t="s">
        <v>460</v>
      </c>
      <c r="E16" s="157" t="s">
        <v>666</v>
      </c>
      <c r="F16" s="159" t="s">
        <v>459</v>
      </c>
      <c r="G16" s="159"/>
      <c r="H16" s="159" t="s">
        <v>461</v>
      </c>
      <c r="I16" s="159" t="s">
        <v>37</v>
      </c>
      <c r="J16" s="159"/>
      <c r="K16" s="159" t="s">
        <v>661</v>
      </c>
      <c r="L16" s="149"/>
      <c r="M16" s="150"/>
      <c r="N16" s="150"/>
      <c r="O16" s="150"/>
      <c r="P16" s="150"/>
      <c r="Q16" s="150"/>
      <c r="R16" s="150"/>
      <c r="S16" s="150"/>
      <c r="T16" s="150"/>
      <c r="U16" s="150"/>
      <c r="V16" s="150"/>
      <c r="W16" s="150"/>
      <c r="X16" s="150"/>
      <c r="Y16" s="150"/>
      <c r="Z16" s="150"/>
    </row>
    <row r="17" spans="1:26" s="151" customFormat="1" ht="55.05" customHeight="1" x14ac:dyDescent="0.25">
      <c r="A17" s="182" t="str">
        <f t="shared" si="0"/>
        <v>Quản lí hóa đơn-9</v>
      </c>
      <c r="B17" s="159"/>
      <c r="C17" s="171"/>
      <c r="D17" s="170" t="s">
        <v>462</v>
      </c>
      <c r="E17" s="157" t="s">
        <v>663</v>
      </c>
      <c r="F17" s="164" t="s">
        <v>459</v>
      </c>
      <c r="G17" s="159"/>
      <c r="H17" s="159" t="s">
        <v>416</v>
      </c>
      <c r="I17" s="159" t="s">
        <v>36</v>
      </c>
      <c r="J17" s="159"/>
      <c r="K17" s="159"/>
      <c r="L17" s="149"/>
      <c r="M17" s="150"/>
      <c r="N17" s="150"/>
      <c r="O17" s="150"/>
      <c r="P17" s="150"/>
      <c r="Q17" s="150"/>
      <c r="R17" s="150"/>
      <c r="S17" s="150"/>
      <c r="T17" s="150"/>
      <c r="U17" s="150"/>
      <c r="V17" s="150"/>
      <c r="W17" s="150"/>
      <c r="X17" s="150"/>
      <c r="Y17" s="150"/>
      <c r="Z17" s="150"/>
    </row>
    <row r="18" spans="1:26" s="151" customFormat="1" ht="78" customHeight="1" x14ac:dyDescent="0.25">
      <c r="A18" s="182" t="str">
        <f t="shared" si="0"/>
        <v>Quản lí hóa đơn-10</v>
      </c>
      <c r="B18" s="171"/>
      <c r="C18" s="157" t="s">
        <v>463</v>
      </c>
      <c r="D18" s="157" t="s">
        <v>464</v>
      </c>
      <c r="E18" s="157" t="s">
        <v>664</v>
      </c>
      <c r="F18" s="164" t="s">
        <v>465</v>
      </c>
      <c r="G18" s="159"/>
      <c r="H18" s="159" t="s">
        <v>662</v>
      </c>
      <c r="I18" s="159" t="s">
        <v>32</v>
      </c>
      <c r="J18" s="159"/>
      <c r="K18" s="159"/>
      <c r="L18" s="149"/>
      <c r="M18" s="150"/>
      <c r="N18" s="150"/>
      <c r="O18" s="150"/>
      <c r="P18" s="150"/>
      <c r="Q18" s="150"/>
      <c r="R18" s="150"/>
      <c r="S18" s="150"/>
      <c r="T18" s="150"/>
      <c r="U18" s="150"/>
      <c r="V18" s="150"/>
      <c r="W18" s="150"/>
      <c r="X18" s="150"/>
      <c r="Y18" s="150"/>
      <c r="Z18" s="150"/>
    </row>
    <row r="19" spans="1:26" s="151" customFormat="1" ht="55.05" customHeight="1" x14ac:dyDescent="0.25">
      <c r="A19" s="182" t="str">
        <f t="shared" si="0"/>
        <v>Quản lí hóa đơn-11</v>
      </c>
      <c r="B19" s="171"/>
      <c r="C19" s="170"/>
      <c r="D19" s="170" t="s">
        <v>466</v>
      </c>
      <c r="E19" s="157" t="s">
        <v>664</v>
      </c>
      <c r="F19" s="164" t="s">
        <v>465</v>
      </c>
      <c r="G19" s="159"/>
      <c r="H19" s="159" t="s">
        <v>517</v>
      </c>
      <c r="I19" s="159" t="s">
        <v>32</v>
      </c>
      <c r="J19" s="159"/>
      <c r="K19" s="159"/>
      <c r="L19" s="149"/>
      <c r="M19" s="150"/>
      <c r="N19" s="150"/>
      <c r="O19" s="150"/>
      <c r="P19" s="150"/>
      <c r="Q19" s="150"/>
      <c r="R19" s="150"/>
      <c r="S19" s="150"/>
      <c r="T19" s="150"/>
      <c r="U19" s="150"/>
      <c r="V19" s="150"/>
      <c r="W19" s="150"/>
      <c r="X19" s="150"/>
      <c r="Y19" s="150"/>
      <c r="Z19" s="150"/>
    </row>
    <row r="20" spans="1:26" s="151" customFormat="1" ht="77.400000000000006" customHeight="1" x14ac:dyDescent="0.25">
      <c r="A20" s="182" t="str">
        <f t="shared" si="0"/>
        <v>Quản lí hóa đơn-12</v>
      </c>
      <c r="B20" s="157"/>
      <c r="C20" s="157" t="s">
        <v>454</v>
      </c>
      <c r="D20" s="157" t="s">
        <v>467</v>
      </c>
      <c r="E20" s="157" t="s">
        <v>664</v>
      </c>
      <c r="F20" s="164" t="s">
        <v>468</v>
      </c>
      <c r="G20" s="159"/>
      <c r="H20" s="159" t="s">
        <v>469</v>
      </c>
      <c r="I20" s="159" t="s">
        <v>32</v>
      </c>
      <c r="J20" s="159"/>
      <c r="K20" s="159"/>
      <c r="L20" s="149"/>
      <c r="M20" s="150"/>
      <c r="N20" s="150"/>
      <c r="O20" s="150"/>
      <c r="P20" s="150"/>
      <c r="Q20" s="150"/>
      <c r="R20" s="150"/>
      <c r="S20" s="150"/>
      <c r="T20" s="150"/>
      <c r="U20" s="150"/>
      <c r="V20" s="150"/>
      <c r="W20" s="150"/>
      <c r="X20" s="150"/>
      <c r="Y20" s="150"/>
      <c r="Z20" s="150"/>
    </row>
    <row r="21" spans="1:26" s="151" customFormat="1" ht="112.2" customHeight="1" x14ac:dyDescent="0.25">
      <c r="A21" s="182" t="str">
        <f t="shared" si="0"/>
        <v>Quản lí hóa đơn-13</v>
      </c>
      <c r="B21" s="163"/>
      <c r="C21" s="163" t="s">
        <v>470</v>
      </c>
      <c r="D21" s="163" t="s">
        <v>518</v>
      </c>
      <c r="E21" s="157" t="s">
        <v>664</v>
      </c>
      <c r="F21" s="159" t="s">
        <v>471</v>
      </c>
      <c r="G21" s="159"/>
      <c r="H21" s="159" t="s">
        <v>680</v>
      </c>
      <c r="I21" s="159" t="s">
        <v>32</v>
      </c>
      <c r="J21" s="177"/>
      <c r="K21" s="159"/>
      <c r="L21" s="156"/>
      <c r="M21" s="156"/>
      <c r="N21" s="156"/>
      <c r="O21" s="156"/>
      <c r="P21" s="156"/>
      <c r="Q21" s="156"/>
      <c r="R21" s="156"/>
      <c r="S21" s="156"/>
      <c r="T21" s="156"/>
      <c r="U21" s="156"/>
      <c r="V21" s="156"/>
      <c r="W21" s="156"/>
      <c r="X21" s="156"/>
      <c r="Y21" s="156"/>
      <c r="Z21" s="156"/>
    </row>
    <row r="22" spans="1:26" s="176" customFormat="1" ht="94.2" customHeight="1" x14ac:dyDescent="0.25">
      <c r="A22" s="182" t="str">
        <f t="shared" si="0"/>
        <v>Quản lí hóa đơn-14</v>
      </c>
      <c r="B22" s="170"/>
      <c r="C22" s="170"/>
      <c r="D22" s="170" t="s">
        <v>519</v>
      </c>
      <c r="E22" s="157" t="s">
        <v>664</v>
      </c>
      <c r="F22" s="170" t="s">
        <v>472</v>
      </c>
      <c r="G22" s="183"/>
      <c r="H22" s="170" t="s">
        <v>473</v>
      </c>
      <c r="I22" s="170" t="s">
        <v>32</v>
      </c>
      <c r="J22" s="178"/>
      <c r="K22" s="159"/>
      <c r="L22" s="150"/>
      <c r="M22" s="150"/>
      <c r="N22" s="150"/>
      <c r="O22" s="150"/>
      <c r="P22" s="150"/>
      <c r="Q22" s="150"/>
      <c r="R22" s="150"/>
      <c r="S22" s="150"/>
      <c r="T22" s="150"/>
      <c r="U22" s="150"/>
      <c r="V22" s="150"/>
      <c r="W22" s="150"/>
      <c r="X22" s="150"/>
      <c r="Y22" s="150"/>
      <c r="Z22" s="150"/>
    </row>
    <row r="23" spans="1:26" s="176" customFormat="1" ht="94.2" customHeight="1" x14ac:dyDescent="0.25">
      <c r="A23" s="184" t="str">
        <f t="shared" si="0"/>
        <v>Quản lí hóa đơn-15</v>
      </c>
      <c r="B23" s="157"/>
      <c r="C23" s="157"/>
      <c r="D23" s="157" t="s">
        <v>475</v>
      </c>
      <c r="E23" s="157" t="s">
        <v>665</v>
      </c>
      <c r="F23" s="157" t="s">
        <v>476</v>
      </c>
      <c r="G23" s="157"/>
      <c r="H23" s="157" t="s">
        <v>477</v>
      </c>
      <c r="I23" s="157" t="s">
        <v>32</v>
      </c>
      <c r="J23" s="165"/>
      <c r="K23" s="157"/>
      <c r="L23" s="150"/>
      <c r="M23" s="150"/>
      <c r="N23" s="150"/>
      <c r="O23" s="150"/>
      <c r="P23" s="150"/>
      <c r="Q23" s="150"/>
      <c r="R23" s="150"/>
      <c r="S23" s="150"/>
      <c r="T23" s="150"/>
      <c r="U23" s="150"/>
      <c r="V23" s="150"/>
      <c r="W23" s="150"/>
      <c r="X23" s="150"/>
      <c r="Y23" s="150"/>
      <c r="Z23" s="150"/>
    </row>
    <row r="24" spans="1:26" ht="12.75" customHeight="1" x14ac:dyDescent="0.25">
      <c r="A24" s="133"/>
      <c r="B24" s="8"/>
      <c r="C24" s="8"/>
      <c r="D24" s="8"/>
      <c r="E24" s="8"/>
      <c r="F24" s="8"/>
      <c r="G24" s="8"/>
      <c r="H24" s="8"/>
      <c r="I24" s="8"/>
      <c r="J24" s="8"/>
      <c r="K24" s="8"/>
      <c r="L24" s="94"/>
      <c r="M24" s="8"/>
      <c r="N24" s="8"/>
      <c r="O24" s="8"/>
      <c r="P24" s="8"/>
      <c r="Q24" s="8"/>
      <c r="R24" s="8"/>
      <c r="S24" s="8"/>
      <c r="T24" s="8"/>
      <c r="U24" s="8"/>
      <c r="V24" s="8"/>
      <c r="W24" s="8"/>
      <c r="X24" s="8"/>
      <c r="Y24" s="8"/>
      <c r="Z24" s="8"/>
    </row>
    <row r="25" spans="1:26" ht="12.75" customHeight="1" x14ac:dyDescent="0.25">
      <c r="A25" s="133"/>
      <c r="B25" s="8"/>
      <c r="C25" s="8"/>
      <c r="D25" s="8"/>
      <c r="E25" s="8"/>
      <c r="F25" s="8"/>
      <c r="G25" s="8"/>
      <c r="H25" s="8"/>
      <c r="I25" s="8"/>
      <c r="J25" s="8"/>
      <c r="K25" s="8"/>
      <c r="L25" s="94"/>
      <c r="M25" s="8"/>
      <c r="N25" s="8"/>
      <c r="O25" s="8"/>
      <c r="P25" s="8"/>
      <c r="Q25" s="8"/>
      <c r="R25" s="8"/>
      <c r="S25" s="8"/>
      <c r="T25" s="8"/>
      <c r="U25" s="8"/>
      <c r="V25" s="8"/>
      <c r="W25" s="8"/>
      <c r="X25" s="8"/>
      <c r="Y25" s="8"/>
      <c r="Z25" s="8"/>
    </row>
    <row r="26" spans="1:26" ht="12.75" customHeight="1" x14ac:dyDescent="0.25">
      <c r="A26" s="133"/>
      <c r="B26" s="8"/>
      <c r="C26" s="8"/>
      <c r="D26" s="8"/>
      <c r="E26" s="8"/>
      <c r="F26" s="8"/>
      <c r="G26" s="8"/>
      <c r="H26" s="8"/>
      <c r="I26" s="8"/>
      <c r="J26" s="8"/>
      <c r="K26" s="8"/>
      <c r="L26" s="94"/>
      <c r="M26" s="8"/>
      <c r="N26" s="8"/>
      <c r="O26" s="8"/>
      <c r="P26" s="8"/>
      <c r="Q26" s="8"/>
      <c r="R26" s="8"/>
      <c r="S26" s="8"/>
      <c r="T26" s="8"/>
      <c r="U26" s="8"/>
      <c r="V26" s="8"/>
      <c r="W26" s="8"/>
      <c r="X26" s="8"/>
      <c r="Y26" s="8"/>
      <c r="Z26" s="8"/>
    </row>
    <row r="27" spans="1:26" ht="12.75" customHeight="1" x14ac:dyDescent="0.25">
      <c r="A27" s="133"/>
      <c r="B27" s="8"/>
      <c r="C27" s="8"/>
      <c r="D27" s="8"/>
      <c r="E27" s="8"/>
      <c r="F27" s="8"/>
      <c r="G27" s="8"/>
      <c r="H27" s="8"/>
      <c r="I27" s="8"/>
      <c r="J27" s="8"/>
      <c r="K27" s="8"/>
      <c r="L27" s="94"/>
      <c r="M27" s="8"/>
      <c r="N27" s="8"/>
      <c r="O27" s="8"/>
      <c r="P27" s="8"/>
      <c r="Q27" s="8"/>
      <c r="R27" s="8"/>
      <c r="S27" s="8"/>
      <c r="T27" s="8"/>
      <c r="U27" s="8"/>
      <c r="V27" s="8"/>
      <c r="W27" s="8"/>
      <c r="X27" s="8"/>
      <c r="Y27" s="8"/>
      <c r="Z27" s="8"/>
    </row>
    <row r="28" spans="1:26" ht="12.75" customHeight="1" x14ac:dyDescent="0.25">
      <c r="A28" s="133"/>
      <c r="B28" s="8"/>
      <c r="C28" s="8"/>
      <c r="D28" s="8"/>
      <c r="E28" s="8"/>
      <c r="F28" s="8"/>
      <c r="G28" s="8"/>
      <c r="H28" s="8"/>
      <c r="I28" s="8"/>
      <c r="J28" s="8"/>
      <c r="K28" s="8"/>
      <c r="L28" s="94"/>
      <c r="M28" s="8"/>
      <c r="N28" s="8"/>
      <c r="O28" s="8"/>
      <c r="P28" s="8"/>
      <c r="Q28" s="8"/>
      <c r="R28" s="8"/>
      <c r="S28" s="8"/>
      <c r="T28" s="8"/>
      <c r="U28" s="8"/>
      <c r="V28" s="8"/>
      <c r="W28" s="8"/>
      <c r="X28" s="8"/>
      <c r="Y28" s="8"/>
      <c r="Z28" s="8"/>
    </row>
    <row r="29" spans="1:26" ht="12.75" customHeight="1" x14ac:dyDescent="0.25">
      <c r="A29" s="133"/>
      <c r="B29" s="8"/>
      <c r="C29" s="8"/>
      <c r="D29" s="8"/>
      <c r="E29" s="8"/>
      <c r="F29" s="8"/>
      <c r="G29" s="8"/>
      <c r="H29" s="8"/>
      <c r="I29" s="8"/>
      <c r="J29" s="8"/>
      <c r="K29" s="8"/>
      <c r="L29" s="94"/>
      <c r="M29" s="8"/>
      <c r="N29" s="8"/>
      <c r="O29" s="8"/>
      <c r="P29" s="8"/>
      <c r="Q29" s="8"/>
      <c r="R29" s="8"/>
      <c r="S29" s="8"/>
      <c r="T29" s="8"/>
      <c r="U29" s="8"/>
      <c r="V29" s="8"/>
      <c r="W29" s="8"/>
      <c r="X29" s="8"/>
      <c r="Y29" s="8"/>
      <c r="Z29" s="8"/>
    </row>
    <row r="30" spans="1:26" ht="12.75" customHeight="1" x14ac:dyDescent="0.25">
      <c r="A30" s="133"/>
      <c r="B30" s="8"/>
      <c r="C30" s="8"/>
      <c r="D30" s="8"/>
      <c r="E30" s="8"/>
      <c r="F30" s="8"/>
      <c r="G30" s="8"/>
      <c r="H30" s="8"/>
      <c r="I30" s="8"/>
      <c r="J30" s="8"/>
      <c r="K30" s="8"/>
      <c r="L30" s="94"/>
      <c r="M30" s="8"/>
      <c r="N30" s="8"/>
      <c r="O30" s="8"/>
      <c r="P30" s="8"/>
      <c r="Q30" s="8"/>
      <c r="R30" s="8"/>
      <c r="S30" s="8"/>
      <c r="T30" s="8"/>
      <c r="U30" s="8"/>
      <c r="V30" s="8"/>
      <c r="W30" s="8"/>
      <c r="X30" s="8"/>
      <c r="Y30" s="8"/>
      <c r="Z30" s="8"/>
    </row>
    <row r="31" spans="1:26" ht="12.75" customHeight="1" x14ac:dyDescent="0.25">
      <c r="A31" s="133"/>
      <c r="B31" s="8"/>
      <c r="C31" s="8"/>
      <c r="D31" s="8"/>
      <c r="E31" s="8"/>
      <c r="F31" s="8"/>
      <c r="G31" s="8"/>
      <c r="H31" s="8"/>
      <c r="I31" s="8"/>
      <c r="J31" s="8"/>
      <c r="K31" s="8"/>
      <c r="L31" s="94"/>
      <c r="M31" s="8"/>
      <c r="N31" s="8"/>
      <c r="O31" s="8"/>
      <c r="P31" s="8"/>
      <c r="Q31" s="8"/>
      <c r="R31" s="8"/>
      <c r="S31" s="8"/>
      <c r="T31" s="8"/>
      <c r="U31" s="8"/>
      <c r="V31" s="8"/>
      <c r="W31" s="8"/>
      <c r="X31" s="8"/>
      <c r="Y31" s="8"/>
      <c r="Z31" s="8"/>
    </row>
    <row r="32" spans="1:26" ht="12.75" customHeight="1" x14ac:dyDescent="0.25">
      <c r="A32" s="133"/>
      <c r="B32" s="8"/>
      <c r="C32" s="8"/>
      <c r="D32" s="8"/>
      <c r="E32" s="8"/>
      <c r="F32" s="8"/>
      <c r="G32" s="8"/>
      <c r="H32" s="8"/>
      <c r="I32" s="8"/>
      <c r="J32" s="8"/>
      <c r="K32" s="8"/>
      <c r="L32" s="94"/>
      <c r="M32" s="8"/>
      <c r="N32" s="8"/>
      <c r="O32" s="8"/>
      <c r="P32" s="8"/>
      <c r="Q32" s="8"/>
      <c r="R32" s="8"/>
      <c r="S32" s="8"/>
      <c r="T32" s="8"/>
      <c r="U32" s="8"/>
      <c r="V32" s="8"/>
      <c r="W32" s="8"/>
      <c r="X32" s="8"/>
      <c r="Y32" s="8"/>
      <c r="Z32" s="8"/>
    </row>
    <row r="33" spans="1:26" ht="12.75" customHeight="1" x14ac:dyDescent="0.25">
      <c r="A33" s="133"/>
      <c r="B33" s="8"/>
      <c r="C33" s="8"/>
      <c r="D33" s="8"/>
      <c r="E33" s="8"/>
      <c r="F33" s="8"/>
      <c r="G33" s="8"/>
      <c r="H33" s="8"/>
      <c r="I33" s="8"/>
      <c r="J33" s="8"/>
      <c r="K33" s="8"/>
      <c r="L33" s="94"/>
      <c r="M33" s="8"/>
      <c r="N33" s="8"/>
      <c r="O33" s="8"/>
      <c r="P33" s="8"/>
      <c r="Q33" s="8"/>
      <c r="R33" s="8"/>
      <c r="S33" s="8"/>
      <c r="T33" s="8"/>
      <c r="U33" s="8"/>
      <c r="V33" s="8"/>
      <c r="W33" s="8"/>
      <c r="X33" s="8"/>
      <c r="Y33" s="8"/>
      <c r="Z33" s="8"/>
    </row>
    <row r="34" spans="1:26" ht="12.75" customHeight="1" x14ac:dyDescent="0.25">
      <c r="A34" s="133"/>
      <c r="B34" s="8"/>
      <c r="C34" s="8"/>
      <c r="D34" s="8"/>
      <c r="E34" s="8"/>
      <c r="F34" s="8"/>
      <c r="G34" s="8"/>
      <c r="H34" s="8"/>
      <c r="I34" s="8"/>
      <c r="J34" s="8"/>
      <c r="K34" s="8"/>
      <c r="L34" s="94"/>
      <c r="M34" s="8"/>
      <c r="N34" s="8"/>
      <c r="O34" s="8"/>
      <c r="P34" s="8"/>
      <c r="Q34" s="8"/>
      <c r="R34" s="8"/>
      <c r="S34" s="8"/>
      <c r="T34" s="8"/>
      <c r="U34" s="8"/>
      <c r="V34" s="8"/>
      <c r="W34" s="8"/>
      <c r="X34" s="8"/>
      <c r="Y34" s="8"/>
      <c r="Z34" s="8"/>
    </row>
    <row r="35" spans="1:26" ht="12.75" customHeight="1" x14ac:dyDescent="0.25">
      <c r="A35" s="133"/>
      <c r="B35" s="8"/>
      <c r="C35" s="8"/>
      <c r="D35" s="8"/>
      <c r="E35" s="8"/>
      <c r="F35" s="8"/>
      <c r="G35" s="8"/>
      <c r="H35" s="8"/>
      <c r="I35" s="8"/>
      <c r="J35" s="8"/>
      <c r="K35" s="8"/>
      <c r="L35" s="94"/>
      <c r="M35" s="8"/>
      <c r="N35" s="8"/>
      <c r="O35" s="8"/>
      <c r="P35" s="8"/>
      <c r="Q35" s="8"/>
      <c r="R35" s="8"/>
      <c r="S35" s="8"/>
      <c r="T35" s="8"/>
      <c r="U35" s="8"/>
      <c r="V35" s="8"/>
      <c r="W35" s="8"/>
      <c r="X35" s="8"/>
      <c r="Y35" s="8"/>
      <c r="Z35" s="8"/>
    </row>
    <row r="36" spans="1:26" ht="12.75" customHeight="1" x14ac:dyDescent="0.25">
      <c r="A36" s="133"/>
      <c r="B36" s="8"/>
      <c r="C36" s="8"/>
      <c r="D36" s="8"/>
      <c r="E36" s="8"/>
      <c r="F36" s="8"/>
      <c r="G36" s="8"/>
      <c r="H36" s="8"/>
      <c r="I36" s="8"/>
      <c r="J36" s="8"/>
      <c r="K36" s="8"/>
      <c r="L36" s="94"/>
      <c r="M36" s="8"/>
      <c r="N36" s="8"/>
      <c r="O36" s="8"/>
      <c r="P36" s="8"/>
      <c r="Q36" s="8"/>
      <c r="R36" s="8"/>
      <c r="S36" s="8"/>
      <c r="T36" s="8"/>
      <c r="U36" s="8"/>
      <c r="V36" s="8"/>
      <c r="W36" s="8"/>
      <c r="X36" s="8"/>
      <c r="Y36" s="8"/>
      <c r="Z36" s="8"/>
    </row>
    <row r="37" spans="1:26" ht="12.75" customHeight="1" x14ac:dyDescent="0.25">
      <c r="A37" s="133"/>
      <c r="B37" s="8"/>
      <c r="C37" s="8"/>
      <c r="D37" s="8"/>
      <c r="E37" s="8"/>
      <c r="F37" s="8"/>
      <c r="G37" s="8"/>
      <c r="H37" s="8"/>
      <c r="I37" s="8"/>
      <c r="J37" s="8"/>
      <c r="K37" s="8"/>
      <c r="L37" s="94"/>
      <c r="M37" s="8"/>
      <c r="N37" s="8"/>
      <c r="O37" s="8"/>
      <c r="P37" s="8"/>
      <c r="Q37" s="8"/>
      <c r="R37" s="8"/>
      <c r="S37" s="8"/>
      <c r="T37" s="8"/>
      <c r="U37" s="8"/>
      <c r="V37" s="8"/>
      <c r="W37" s="8"/>
      <c r="X37" s="8"/>
      <c r="Y37" s="8"/>
      <c r="Z37" s="8"/>
    </row>
    <row r="38" spans="1:26" ht="12.75" customHeight="1" x14ac:dyDescent="0.25">
      <c r="A38" s="133"/>
      <c r="B38" s="8"/>
      <c r="C38" s="8"/>
      <c r="D38" s="8"/>
      <c r="E38" s="8"/>
      <c r="F38" s="8"/>
      <c r="G38" s="8"/>
      <c r="H38" s="8"/>
      <c r="I38" s="8"/>
      <c r="J38" s="8"/>
      <c r="K38" s="8"/>
      <c r="L38" s="94"/>
      <c r="M38" s="8"/>
      <c r="N38" s="8"/>
      <c r="O38" s="8"/>
      <c r="P38" s="8"/>
      <c r="Q38" s="8"/>
      <c r="R38" s="8"/>
      <c r="S38" s="8"/>
      <c r="T38" s="8"/>
      <c r="U38" s="8"/>
      <c r="V38" s="8"/>
      <c r="W38" s="8"/>
      <c r="X38" s="8"/>
      <c r="Y38" s="8"/>
      <c r="Z38" s="8"/>
    </row>
    <row r="39" spans="1:26" ht="12.75" customHeight="1" x14ac:dyDescent="0.25">
      <c r="A39" s="133"/>
      <c r="B39" s="8"/>
      <c r="C39" s="8"/>
      <c r="D39" s="8"/>
      <c r="E39" s="8"/>
      <c r="F39" s="8"/>
      <c r="G39" s="8"/>
      <c r="H39" s="8"/>
      <c r="I39" s="8"/>
      <c r="J39" s="8"/>
      <c r="K39" s="8"/>
      <c r="L39" s="94"/>
      <c r="M39" s="8"/>
      <c r="N39" s="8"/>
      <c r="O39" s="8"/>
      <c r="P39" s="8"/>
      <c r="Q39" s="8"/>
      <c r="R39" s="8"/>
      <c r="S39" s="8"/>
      <c r="T39" s="8"/>
      <c r="U39" s="8"/>
      <c r="V39" s="8"/>
      <c r="W39" s="8"/>
      <c r="X39" s="8"/>
      <c r="Y39" s="8"/>
      <c r="Z39" s="8"/>
    </row>
    <row r="40" spans="1:26" ht="12.75" customHeight="1" x14ac:dyDescent="0.25">
      <c r="A40" s="133"/>
      <c r="B40" s="8"/>
      <c r="C40" s="8"/>
      <c r="D40" s="8"/>
      <c r="E40" s="8"/>
      <c r="F40" s="8"/>
      <c r="G40" s="8"/>
      <c r="H40" s="8"/>
      <c r="I40" s="8"/>
      <c r="J40" s="8"/>
      <c r="K40" s="8"/>
      <c r="L40" s="94"/>
      <c r="M40" s="8"/>
      <c r="N40" s="8"/>
      <c r="O40" s="8"/>
      <c r="P40" s="8"/>
      <c r="Q40" s="8"/>
      <c r="R40" s="8"/>
      <c r="S40" s="8"/>
      <c r="T40" s="8"/>
      <c r="U40" s="8"/>
      <c r="V40" s="8"/>
      <c r="W40" s="8"/>
      <c r="X40" s="8"/>
      <c r="Y40" s="8"/>
      <c r="Z40" s="8"/>
    </row>
    <row r="41" spans="1:26" ht="12.75" customHeight="1" x14ac:dyDescent="0.25">
      <c r="A41" s="133"/>
      <c r="B41" s="8"/>
      <c r="C41" s="8"/>
      <c r="D41" s="8"/>
      <c r="E41" s="8"/>
      <c r="F41" s="8"/>
      <c r="G41" s="8"/>
      <c r="H41" s="8"/>
      <c r="I41" s="8"/>
      <c r="J41" s="8"/>
      <c r="K41" s="8"/>
      <c r="L41" s="94"/>
      <c r="M41" s="8"/>
      <c r="N41" s="8"/>
      <c r="O41" s="8"/>
      <c r="P41" s="8"/>
      <c r="Q41" s="8"/>
      <c r="R41" s="8"/>
      <c r="S41" s="8"/>
      <c r="T41" s="8"/>
      <c r="U41" s="8"/>
      <c r="V41" s="8"/>
      <c r="W41" s="8"/>
      <c r="X41" s="8"/>
      <c r="Y41" s="8"/>
      <c r="Z41" s="8"/>
    </row>
    <row r="42" spans="1:26" ht="12.75" customHeight="1" x14ac:dyDescent="0.25">
      <c r="A42" s="133"/>
      <c r="B42" s="8"/>
      <c r="C42" s="8"/>
      <c r="D42" s="8"/>
      <c r="E42" s="8"/>
      <c r="F42" s="8"/>
      <c r="G42" s="8"/>
      <c r="H42" s="8"/>
      <c r="I42" s="8"/>
      <c r="J42" s="8"/>
      <c r="K42" s="8"/>
      <c r="L42" s="94"/>
      <c r="M42" s="8"/>
      <c r="N42" s="8"/>
      <c r="O42" s="8"/>
      <c r="P42" s="8"/>
      <c r="Q42" s="8"/>
      <c r="R42" s="8"/>
      <c r="S42" s="8"/>
      <c r="T42" s="8"/>
      <c r="U42" s="8"/>
      <c r="V42" s="8"/>
      <c r="W42" s="8"/>
      <c r="X42" s="8"/>
      <c r="Y42" s="8"/>
      <c r="Z42" s="8"/>
    </row>
    <row r="43" spans="1:26" ht="12.75" customHeight="1" x14ac:dyDescent="0.25">
      <c r="A43" s="133"/>
      <c r="B43" s="8"/>
      <c r="C43" s="8"/>
      <c r="D43" s="8"/>
      <c r="E43" s="8"/>
      <c r="F43" s="8"/>
      <c r="G43" s="8"/>
      <c r="H43" s="8"/>
      <c r="I43" s="8"/>
      <c r="J43" s="8"/>
      <c r="K43" s="8"/>
      <c r="L43" s="94"/>
      <c r="M43" s="8"/>
      <c r="N43" s="8"/>
      <c r="O43" s="8"/>
      <c r="P43" s="8"/>
      <c r="Q43" s="8"/>
      <c r="R43" s="8"/>
      <c r="S43" s="8"/>
      <c r="T43" s="8"/>
      <c r="U43" s="8"/>
      <c r="V43" s="8"/>
      <c r="W43" s="8"/>
      <c r="X43" s="8"/>
      <c r="Y43" s="8"/>
      <c r="Z43" s="8"/>
    </row>
    <row r="44" spans="1:26" ht="12.75" customHeight="1" x14ac:dyDescent="0.25">
      <c r="A44" s="133"/>
      <c r="B44" s="8"/>
      <c r="C44" s="8"/>
      <c r="D44" s="8"/>
      <c r="E44" s="8"/>
      <c r="F44" s="8"/>
      <c r="G44" s="8"/>
      <c r="H44" s="8"/>
      <c r="I44" s="8"/>
      <c r="J44" s="8"/>
      <c r="K44" s="8"/>
      <c r="L44" s="94"/>
      <c r="M44" s="8"/>
      <c r="N44" s="8"/>
      <c r="O44" s="8"/>
      <c r="P44" s="8"/>
      <c r="Q44" s="8"/>
      <c r="R44" s="8"/>
      <c r="S44" s="8"/>
      <c r="T44" s="8"/>
      <c r="U44" s="8"/>
      <c r="V44" s="8"/>
      <c r="W44" s="8"/>
      <c r="X44" s="8"/>
      <c r="Y44" s="8"/>
      <c r="Z44" s="8"/>
    </row>
    <row r="45" spans="1:26" ht="12.75" customHeight="1" x14ac:dyDescent="0.25">
      <c r="A45" s="133"/>
      <c r="B45" s="8"/>
      <c r="C45" s="8"/>
      <c r="D45" s="8"/>
      <c r="E45" s="8"/>
      <c r="F45" s="8"/>
      <c r="G45" s="8"/>
      <c r="H45" s="8"/>
      <c r="I45" s="8"/>
      <c r="J45" s="8"/>
      <c r="K45" s="8"/>
      <c r="L45" s="94"/>
      <c r="M45" s="8"/>
      <c r="N45" s="8"/>
      <c r="O45" s="8"/>
      <c r="P45" s="8"/>
      <c r="Q45" s="8"/>
      <c r="R45" s="8"/>
      <c r="S45" s="8"/>
      <c r="T45" s="8"/>
      <c r="U45" s="8"/>
      <c r="V45" s="8"/>
      <c r="W45" s="8"/>
      <c r="X45" s="8"/>
      <c r="Y45" s="8"/>
      <c r="Z45" s="8"/>
    </row>
    <row r="46" spans="1:26" ht="12.75" customHeight="1" x14ac:dyDescent="0.25">
      <c r="A46" s="133"/>
      <c r="B46" s="8"/>
      <c r="C46" s="8"/>
      <c r="D46" s="8"/>
      <c r="E46" s="8"/>
      <c r="F46" s="8"/>
      <c r="G46" s="8"/>
      <c r="H46" s="8"/>
      <c r="I46" s="8"/>
      <c r="J46" s="8"/>
      <c r="K46" s="8"/>
      <c r="L46" s="94"/>
      <c r="M46" s="8"/>
      <c r="N46" s="8"/>
      <c r="O46" s="8"/>
      <c r="P46" s="8"/>
      <c r="Q46" s="8"/>
      <c r="R46" s="8"/>
      <c r="S46" s="8"/>
      <c r="T46" s="8"/>
      <c r="U46" s="8"/>
      <c r="V46" s="8"/>
      <c r="W46" s="8"/>
      <c r="X46" s="8"/>
      <c r="Y46" s="8"/>
      <c r="Z46" s="8"/>
    </row>
    <row r="47" spans="1:26" ht="12.75" customHeight="1" x14ac:dyDescent="0.25">
      <c r="A47" s="133"/>
      <c r="B47" s="8"/>
      <c r="C47" s="8"/>
      <c r="D47" s="8"/>
      <c r="E47" s="8"/>
      <c r="F47" s="8"/>
      <c r="G47" s="8"/>
      <c r="H47" s="8"/>
      <c r="I47" s="8"/>
      <c r="J47" s="8"/>
      <c r="K47" s="8"/>
      <c r="L47" s="94"/>
      <c r="M47" s="8"/>
      <c r="N47" s="8"/>
      <c r="O47" s="8"/>
      <c r="P47" s="8"/>
      <c r="Q47" s="8"/>
      <c r="R47" s="8"/>
      <c r="S47" s="8"/>
      <c r="T47" s="8"/>
      <c r="U47" s="8"/>
      <c r="V47" s="8"/>
      <c r="W47" s="8"/>
      <c r="X47" s="8"/>
      <c r="Y47" s="8"/>
      <c r="Z47" s="8"/>
    </row>
    <row r="48" spans="1:26" ht="12.75" customHeight="1" x14ac:dyDescent="0.25">
      <c r="A48" s="133"/>
      <c r="B48" s="8"/>
      <c r="C48" s="8"/>
      <c r="D48" s="8"/>
      <c r="E48" s="8"/>
      <c r="F48" s="8"/>
      <c r="G48" s="8"/>
      <c r="H48" s="8"/>
      <c r="I48" s="8"/>
      <c r="J48" s="8"/>
      <c r="K48" s="8"/>
      <c r="L48" s="94"/>
      <c r="M48" s="8"/>
      <c r="N48" s="8"/>
      <c r="O48" s="8"/>
      <c r="P48" s="8"/>
      <c r="Q48" s="8"/>
      <c r="R48" s="8"/>
      <c r="S48" s="8"/>
      <c r="T48" s="8"/>
      <c r="U48" s="8"/>
      <c r="V48" s="8"/>
      <c r="W48" s="8"/>
      <c r="X48" s="8"/>
      <c r="Y48" s="8"/>
      <c r="Z48" s="8"/>
    </row>
    <row r="49" spans="1:26" ht="12.75" customHeight="1" x14ac:dyDescent="0.25">
      <c r="A49" s="133"/>
      <c r="B49" s="8"/>
      <c r="C49" s="8"/>
      <c r="D49" s="8"/>
      <c r="E49" s="8"/>
      <c r="F49" s="8"/>
      <c r="G49" s="8"/>
      <c r="H49" s="8"/>
      <c r="I49" s="8"/>
      <c r="J49" s="8"/>
      <c r="K49" s="8"/>
      <c r="L49" s="94"/>
      <c r="M49" s="8"/>
      <c r="N49" s="8"/>
      <c r="O49" s="8"/>
      <c r="P49" s="8"/>
      <c r="Q49" s="8"/>
      <c r="R49" s="8"/>
      <c r="S49" s="8"/>
      <c r="T49" s="8"/>
      <c r="U49" s="8"/>
      <c r="V49" s="8"/>
      <c r="W49" s="8"/>
      <c r="X49" s="8"/>
      <c r="Y49" s="8"/>
      <c r="Z49" s="8"/>
    </row>
    <row r="50" spans="1:26" ht="12.75" customHeight="1" x14ac:dyDescent="0.25">
      <c r="A50" s="133"/>
      <c r="B50" s="8"/>
      <c r="C50" s="8"/>
      <c r="D50" s="8"/>
      <c r="E50" s="8"/>
      <c r="F50" s="8"/>
      <c r="G50" s="8"/>
      <c r="H50" s="8"/>
      <c r="I50" s="8"/>
      <c r="J50" s="8"/>
      <c r="K50" s="8"/>
      <c r="L50" s="94"/>
      <c r="M50" s="8"/>
      <c r="N50" s="8"/>
      <c r="O50" s="8"/>
      <c r="P50" s="8"/>
      <c r="Q50" s="8"/>
      <c r="R50" s="8"/>
      <c r="S50" s="8"/>
      <c r="T50" s="8"/>
      <c r="U50" s="8"/>
      <c r="V50" s="8"/>
      <c r="W50" s="8"/>
      <c r="X50" s="8"/>
      <c r="Y50" s="8"/>
      <c r="Z50" s="8"/>
    </row>
    <row r="51" spans="1:26" ht="12.75" customHeight="1" x14ac:dyDescent="0.25">
      <c r="A51" s="133"/>
      <c r="B51" s="8"/>
      <c r="C51" s="8"/>
      <c r="D51" s="8"/>
      <c r="E51" s="8"/>
      <c r="F51" s="8"/>
      <c r="G51" s="8"/>
      <c r="H51" s="8"/>
      <c r="I51" s="8"/>
      <c r="J51" s="8"/>
      <c r="K51" s="8"/>
      <c r="L51" s="94"/>
      <c r="M51" s="8"/>
      <c r="N51" s="8"/>
      <c r="O51" s="8"/>
      <c r="P51" s="8"/>
      <c r="Q51" s="8"/>
      <c r="R51" s="8"/>
      <c r="S51" s="8"/>
      <c r="T51" s="8"/>
      <c r="U51" s="8"/>
      <c r="V51" s="8"/>
      <c r="W51" s="8"/>
      <c r="X51" s="8"/>
      <c r="Y51" s="8"/>
      <c r="Z51" s="8"/>
    </row>
    <row r="52" spans="1:26" ht="12.75" customHeight="1" x14ac:dyDescent="0.25">
      <c r="A52" s="133"/>
      <c r="B52" s="8"/>
      <c r="C52" s="8"/>
      <c r="D52" s="8"/>
      <c r="E52" s="8"/>
      <c r="F52" s="8"/>
      <c r="G52" s="8"/>
      <c r="H52" s="8"/>
      <c r="I52" s="8"/>
      <c r="J52" s="8"/>
      <c r="K52" s="8"/>
      <c r="L52" s="94"/>
      <c r="M52" s="8"/>
      <c r="N52" s="8"/>
      <c r="O52" s="8"/>
      <c r="P52" s="8"/>
      <c r="Q52" s="8"/>
      <c r="R52" s="8"/>
      <c r="S52" s="8"/>
      <c r="T52" s="8"/>
      <c r="U52" s="8"/>
      <c r="V52" s="8"/>
      <c r="W52" s="8"/>
      <c r="X52" s="8"/>
      <c r="Y52" s="8"/>
      <c r="Z52" s="8"/>
    </row>
    <row r="53" spans="1:26" ht="12.75" customHeight="1" x14ac:dyDescent="0.25">
      <c r="A53" s="133"/>
      <c r="B53" s="8"/>
      <c r="C53" s="8"/>
      <c r="D53" s="8"/>
      <c r="E53" s="8"/>
      <c r="F53" s="8"/>
      <c r="G53" s="8"/>
      <c r="H53" s="8"/>
      <c r="I53" s="8"/>
      <c r="J53" s="8"/>
      <c r="K53" s="8"/>
      <c r="L53" s="94"/>
      <c r="M53" s="8"/>
      <c r="N53" s="8"/>
      <c r="O53" s="8"/>
      <c r="P53" s="8"/>
      <c r="Q53" s="8"/>
      <c r="R53" s="8"/>
      <c r="S53" s="8"/>
      <c r="T53" s="8"/>
      <c r="U53" s="8"/>
      <c r="V53" s="8"/>
      <c r="W53" s="8"/>
      <c r="X53" s="8"/>
      <c r="Y53" s="8"/>
      <c r="Z53" s="8"/>
    </row>
    <row r="54" spans="1:26" ht="12.75" customHeight="1" x14ac:dyDescent="0.25">
      <c r="A54" s="133"/>
      <c r="B54" s="8"/>
      <c r="C54" s="8"/>
      <c r="D54" s="8"/>
      <c r="E54" s="8"/>
      <c r="F54" s="8"/>
      <c r="G54" s="8"/>
      <c r="H54" s="8"/>
      <c r="I54" s="8"/>
      <c r="J54" s="8"/>
      <c r="K54" s="8"/>
      <c r="L54" s="94"/>
      <c r="M54" s="8"/>
      <c r="N54" s="8"/>
      <c r="O54" s="8"/>
      <c r="P54" s="8"/>
      <c r="Q54" s="8"/>
      <c r="R54" s="8"/>
      <c r="S54" s="8"/>
      <c r="T54" s="8"/>
      <c r="U54" s="8"/>
      <c r="V54" s="8"/>
      <c r="W54" s="8"/>
      <c r="X54" s="8"/>
      <c r="Y54" s="8"/>
      <c r="Z54" s="8"/>
    </row>
    <row r="55" spans="1:26" ht="12.75" customHeight="1" x14ac:dyDescent="0.25">
      <c r="A55" s="133"/>
      <c r="B55" s="8"/>
      <c r="C55" s="8"/>
      <c r="D55" s="8"/>
      <c r="E55" s="8"/>
      <c r="F55" s="8"/>
      <c r="G55" s="8"/>
      <c r="H55" s="8"/>
      <c r="I55" s="8"/>
      <c r="J55" s="8"/>
      <c r="K55" s="8"/>
      <c r="L55" s="94"/>
      <c r="M55" s="8"/>
      <c r="N55" s="8"/>
      <c r="O55" s="8"/>
      <c r="P55" s="8"/>
      <c r="Q55" s="8"/>
      <c r="R55" s="8"/>
      <c r="S55" s="8"/>
      <c r="T55" s="8"/>
      <c r="U55" s="8"/>
      <c r="V55" s="8"/>
      <c r="W55" s="8"/>
      <c r="X55" s="8"/>
      <c r="Y55" s="8"/>
      <c r="Z55" s="8"/>
    </row>
    <row r="56" spans="1:26" ht="12.75" customHeight="1" x14ac:dyDescent="0.25">
      <c r="A56" s="133"/>
      <c r="B56" s="8"/>
      <c r="C56" s="8"/>
      <c r="D56" s="8"/>
      <c r="E56" s="8"/>
      <c r="F56" s="8"/>
      <c r="G56" s="8"/>
      <c r="H56" s="8"/>
      <c r="I56" s="8"/>
      <c r="J56" s="8"/>
      <c r="K56" s="8"/>
      <c r="L56" s="94"/>
      <c r="M56" s="8"/>
      <c r="N56" s="8"/>
      <c r="O56" s="8"/>
      <c r="P56" s="8"/>
      <c r="Q56" s="8"/>
      <c r="R56" s="8"/>
      <c r="S56" s="8"/>
      <c r="T56" s="8"/>
      <c r="U56" s="8"/>
      <c r="V56" s="8"/>
      <c r="W56" s="8"/>
      <c r="X56" s="8"/>
      <c r="Y56" s="8"/>
      <c r="Z56" s="8"/>
    </row>
    <row r="57" spans="1:26" ht="12.75" customHeight="1" x14ac:dyDescent="0.25">
      <c r="A57" s="133"/>
      <c r="B57" s="8"/>
      <c r="C57" s="8"/>
      <c r="D57" s="8"/>
      <c r="E57" s="8"/>
      <c r="F57" s="8"/>
      <c r="G57" s="8"/>
      <c r="H57" s="8"/>
      <c r="I57" s="8"/>
      <c r="J57" s="8"/>
      <c r="K57" s="8"/>
      <c r="L57" s="94"/>
      <c r="M57" s="8"/>
      <c r="N57" s="8"/>
      <c r="O57" s="8"/>
      <c r="P57" s="8"/>
      <c r="Q57" s="8"/>
      <c r="R57" s="8"/>
      <c r="S57" s="8"/>
      <c r="T57" s="8"/>
      <c r="U57" s="8"/>
      <c r="V57" s="8"/>
      <c r="W57" s="8"/>
      <c r="X57" s="8"/>
      <c r="Y57" s="8"/>
      <c r="Z57" s="8"/>
    </row>
    <row r="58" spans="1:26" ht="12.75" customHeight="1" x14ac:dyDescent="0.25">
      <c r="A58" s="133"/>
      <c r="B58" s="8"/>
      <c r="C58" s="8"/>
      <c r="D58" s="8"/>
      <c r="E58" s="8"/>
      <c r="F58" s="8"/>
      <c r="G58" s="8"/>
      <c r="H58" s="8"/>
      <c r="I58" s="8"/>
      <c r="J58" s="8"/>
      <c r="K58" s="8"/>
      <c r="L58" s="94"/>
      <c r="M58" s="8"/>
      <c r="N58" s="8"/>
      <c r="O58" s="8"/>
      <c r="P58" s="8"/>
      <c r="Q58" s="8"/>
      <c r="R58" s="8"/>
      <c r="S58" s="8"/>
      <c r="T58" s="8"/>
      <c r="U58" s="8"/>
      <c r="V58" s="8"/>
      <c r="W58" s="8"/>
      <c r="X58" s="8"/>
      <c r="Y58" s="8"/>
      <c r="Z58" s="8"/>
    </row>
    <row r="59" spans="1:26" ht="12.75" customHeight="1" x14ac:dyDescent="0.25">
      <c r="A59" s="133"/>
      <c r="B59" s="8"/>
      <c r="C59" s="8"/>
      <c r="D59" s="8"/>
      <c r="E59" s="8"/>
      <c r="F59" s="8"/>
      <c r="G59" s="8"/>
      <c r="H59" s="8"/>
      <c r="I59" s="8"/>
      <c r="J59" s="8"/>
      <c r="K59" s="8"/>
      <c r="L59" s="94"/>
      <c r="M59" s="8"/>
      <c r="N59" s="8"/>
      <c r="O59" s="8"/>
      <c r="P59" s="8"/>
      <c r="Q59" s="8"/>
      <c r="R59" s="8"/>
      <c r="S59" s="8"/>
      <c r="T59" s="8"/>
      <c r="U59" s="8"/>
      <c r="V59" s="8"/>
      <c r="W59" s="8"/>
      <c r="X59" s="8"/>
      <c r="Y59" s="8"/>
      <c r="Z59" s="8"/>
    </row>
    <row r="60" spans="1:26" ht="12.75" customHeight="1" x14ac:dyDescent="0.25">
      <c r="A60" s="133"/>
      <c r="B60" s="8"/>
      <c r="C60" s="8"/>
      <c r="D60" s="8"/>
      <c r="E60" s="8"/>
      <c r="F60" s="8"/>
      <c r="G60" s="8"/>
      <c r="H60" s="8"/>
      <c r="I60" s="8"/>
      <c r="J60" s="8"/>
      <c r="K60" s="8"/>
      <c r="L60" s="94"/>
      <c r="M60" s="8"/>
      <c r="N60" s="8"/>
      <c r="O60" s="8"/>
      <c r="P60" s="8"/>
      <c r="Q60" s="8"/>
      <c r="R60" s="8"/>
      <c r="S60" s="8"/>
      <c r="T60" s="8"/>
      <c r="U60" s="8"/>
      <c r="V60" s="8"/>
      <c r="W60" s="8"/>
      <c r="X60" s="8"/>
      <c r="Y60" s="8"/>
      <c r="Z60" s="8"/>
    </row>
    <row r="61" spans="1:26" ht="12.75" customHeight="1" x14ac:dyDescent="0.25">
      <c r="A61" s="133"/>
      <c r="B61" s="8"/>
      <c r="C61" s="8"/>
      <c r="D61" s="8"/>
      <c r="E61" s="8"/>
      <c r="F61" s="8"/>
      <c r="G61" s="8"/>
      <c r="H61" s="8"/>
      <c r="I61" s="8"/>
      <c r="J61" s="8"/>
      <c r="K61" s="8"/>
      <c r="L61" s="94"/>
      <c r="M61" s="8"/>
      <c r="N61" s="8"/>
      <c r="O61" s="8"/>
      <c r="P61" s="8"/>
      <c r="Q61" s="8"/>
      <c r="R61" s="8"/>
      <c r="S61" s="8"/>
      <c r="T61" s="8"/>
      <c r="U61" s="8"/>
      <c r="V61" s="8"/>
      <c r="W61" s="8"/>
      <c r="X61" s="8"/>
      <c r="Y61" s="8"/>
      <c r="Z61" s="8"/>
    </row>
    <row r="62" spans="1:26" ht="12.75" customHeight="1" x14ac:dyDescent="0.25">
      <c r="A62" s="133"/>
      <c r="B62" s="8"/>
      <c r="C62" s="8"/>
      <c r="D62" s="8"/>
      <c r="E62" s="8"/>
      <c r="F62" s="8"/>
      <c r="G62" s="8"/>
      <c r="H62" s="8"/>
      <c r="I62" s="8"/>
      <c r="J62" s="8"/>
      <c r="K62" s="8"/>
      <c r="L62" s="94"/>
      <c r="M62" s="8"/>
      <c r="N62" s="8"/>
      <c r="O62" s="8"/>
      <c r="P62" s="8"/>
      <c r="Q62" s="8"/>
      <c r="R62" s="8"/>
      <c r="S62" s="8"/>
      <c r="T62" s="8"/>
      <c r="U62" s="8"/>
      <c r="V62" s="8"/>
      <c r="W62" s="8"/>
      <c r="X62" s="8"/>
      <c r="Y62" s="8"/>
      <c r="Z62" s="8"/>
    </row>
    <row r="63" spans="1:26" ht="12.75" customHeight="1" x14ac:dyDescent="0.25">
      <c r="A63" s="133"/>
      <c r="B63" s="8"/>
      <c r="C63" s="8"/>
      <c r="D63" s="8"/>
      <c r="E63" s="8"/>
      <c r="F63" s="8"/>
      <c r="G63" s="8"/>
      <c r="H63" s="8"/>
      <c r="I63" s="8"/>
      <c r="J63" s="8"/>
      <c r="K63" s="8"/>
      <c r="L63" s="94"/>
      <c r="M63" s="8"/>
      <c r="N63" s="8"/>
      <c r="O63" s="8"/>
      <c r="P63" s="8"/>
      <c r="Q63" s="8"/>
      <c r="R63" s="8"/>
      <c r="S63" s="8"/>
      <c r="T63" s="8"/>
      <c r="U63" s="8"/>
      <c r="V63" s="8"/>
      <c r="W63" s="8"/>
      <c r="X63" s="8"/>
      <c r="Y63" s="8"/>
      <c r="Z63" s="8"/>
    </row>
    <row r="64" spans="1:26" ht="12.75" customHeight="1" x14ac:dyDescent="0.25">
      <c r="A64" s="133"/>
      <c r="B64" s="8"/>
      <c r="C64" s="8"/>
      <c r="D64" s="8"/>
      <c r="E64" s="8"/>
      <c r="F64" s="8"/>
      <c r="G64" s="8"/>
      <c r="H64" s="8"/>
      <c r="I64" s="8"/>
      <c r="J64" s="8"/>
      <c r="K64" s="8"/>
      <c r="L64" s="94"/>
      <c r="M64" s="8"/>
      <c r="N64" s="8"/>
      <c r="O64" s="8"/>
      <c r="P64" s="8"/>
      <c r="Q64" s="8"/>
      <c r="R64" s="8"/>
      <c r="S64" s="8"/>
      <c r="T64" s="8"/>
      <c r="U64" s="8"/>
      <c r="V64" s="8"/>
      <c r="W64" s="8"/>
      <c r="X64" s="8"/>
      <c r="Y64" s="8"/>
      <c r="Z64" s="8"/>
    </row>
    <row r="65" spans="1:26" ht="12.75" customHeight="1" x14ac:dyDescent="0.25">
      <c r="A65" s="133"/>
      <c r="B65" s="8"/>
      <c r="C65" s="8"/>
      <c r="D65" s="8"/>
      <c r="E65" s="8"/>
      <c r="F65" s="8"/>
      <c r="G65" s="8"/>
      <c r="H65" s="8"/>
      <c r="I65" s="8"/>
      <c r="J65" s="8"/>
      <c r="K65" s="8"/>
      <c r="L65" s="94"/>
      <c r="M65" s="8"/>
      <c r="N65" s="8"/>
      <c r="O65" s="8"/>
      <c r="P65" s="8"/>
      <c r="Q65" s="8"/>
      <c r="R65" s="8"/>
      <c r="S65" s="8"/>
      <c r="T65" s="8"/>
      <c r="U65" s="8"/>
      <c r="V65" s="8"/>
      <c r="W65" s="8"/>
      <c r="X65" s="8"/>
      <c r="Y65" s="8"/>
      <c r="Z65" s="8"/>
    </row>
    <row r="66" spans="1:26" ht="12.75" customHeight="1" x14ac:dyDescent="0.25">
      <c r="A66" s="133"/>
      <c r="B66" s="8"/>
      <c r="C66" s="8"/>
      <c r="D66" s="8"/>
      <c r="E66" s="8"/>
      <c r="F66" s="8"/>
      <c r="G66" s="8"/>
      <c r="H66" s="8"/>
      <c r="I66" s="8"/>
      <c r="J66" s="8"/>
      <c r="K66" s="8"/>
      <c r="L66" s="94"/>
      <c r="M66" s="8"/>
      <c r="N66" s="8"/>
      <c r="O66" s="8"/>
      <c r="P66" s="8"/>
      <c r="Q66" s="8"/>
      <c r="R66" s="8"/>
      <c r="S66" s="8"/>
      <c r="T66" s="8"/>
      <c r="U66" s="8"/>
      <c r="V66" s="8"/>
      <c r="W66" s="8"/>
      <c r="X66" s="8"/>
      <c r="Y66" s="8"/>
      <c r="Z66" s="8"/>
    </row>
    <row r="67" spans="1:26" ht="12.75" customHeight="1" x14ac:dyDescent="0.25">
      <c r="A67" s="133"/>
      <c r="B67" s="8"/>
      <c r="C67" s="8"/>
      <c r="D67" s="8"/>
      <c r="E67" s="8"/>
      <c r="F67" s="8"/>
      <c r="G67" s="8"/>
      <c r="H67" s="8"/>
      <c r="I67" s="8"/>
      <c r="J67" s="8"/>
      <c r="K67" s="8"/>
      <c r="L67" s="94"/>
      <c r="M67" s="8"/>
      <c r="N67" s="8"/>
      <c r="O67" s="8"/>
      <c r="P67" s="8"/>
      <c r="Q67" s="8"/>
      <c r="R67" s="8"/>
      <c r="S67" s="8"/>
      <c r="T67" s="8"/>
      <c r="U67" s="8"/>
      <c r="V67" s="8"/>
      <c r="W67" s="8"/>
      <c r="X67" s="8"/>
      <c r="Y67" s="8"/>
      <c r="Z67" s="8"/>
    </row>
    <row r="68" spans="1:26" ht="12.75" customHeight="1" x14ac:dyDescent="0.25">
      <c r="A68" s="133"/>
      <c r="B68" s="8"/>
      <c r="C68" s="8"/>
      <c r="D68" s="8"/>
      <c r="E68" s="8"/>
      <c r="F68" s="8"/>
      <c r="G68" s="8"/>
      <c r="H68" s="8"/>
      <c r="I68" s="8"/>
      <c r="J68" s="8"/>
      <c r="K68" s="8"/>
      <c r="L68" s="94"/>
      <c r="M68" s="8"/>
      <c r="N68" s="8"/>
      <c r="O68" s="8"/>
      <c r="P68" s="8"/>
      <c r="Q68" s="8"/>
      <c r="R68" s="8"/>
      <c r="S68" s="8"/>
      <c r="T68" s="8"/>
      <c r="U68" s="8"/>
      <c r="V68" s="8"/>
      <c r="W68" s="8"/>
      <c r="X68" s="8"/>
      <c r="Y68" s="8"/>
      <c r="Z68" s="8"/>
    </row>
    <row r="69" spans="1:26" ht="12.75" customHeight="1" x14ac:dyDescent="0.25">
      <c r="A69" s="133"/>
      <c r="B69" s="8"/>
      <c r="C69" s="8"/>
      <c r="D69" s="8"/>
      <c r="E69" s="8"/>
      <c r="F69" s="8"/>
      <c r="G69" s="8"/>
      <c r="H69" s="8"/>
      <c r="I69" s="8"/>
      <c r="J69" s="8"/>
      <c r="K69" s="8"/>
      <c r="L69" s="94"/>
      <c r="M69" s="8"/>
      <c r="N69" s="8"/>
      <c r="O69" s="8"/>
      <c r="P69" s="8"/>
      <c r="Q69" s="8"/>
      <c r="R69" s="8"/>
      <c r="S69" s="8"/>
      <c r="T69" s="8"/>
      <c r="U69" s="8"/>
      <c r="V69" s="8"/>
      <c r="W69" s="8"/>
      <c r="X69" s="8"/>
      <c r="Y69" s="8"/>
      <c r="Z69" s="8"/>
    </row>
    <row r="70" spans="1:26" ht="12.75" customHeight="1" x14ac:dyDescent="0.25">
      <c r="A70" s="133"/>
      <c r="B70" s="8"/>
      <c r="C70" s="8"/>
      <c r="D70" s="8"/>
      <c r="E70" s="8"/>
      <c r="F70" s="8"/>
      <c r="G70" s="8"/>
      <c r="H70" s="8"/>
      <c r="I70" s="8"/>
      <c r="J70" s="8"/>
      <c r="K70" s="8"/>
      <c r="L70" s="94"/>
      <c r="M70" s="8"/>
      <c r="N70" s="8"/>
      <c r="O70" s="8"/>
      <c r="P70" s="8"/>
      <c r="Q70" s="8"/>
      <c r="R70" s="8"/>
      <c r="S70" s="8"/>
      <c r="T70" s="8"/>
      <c r="U70" s="8"/>
      <c r="V70" s="8"/>
      <c r="W70" s="8"/>
      <c r="X70" s="8"/>
      <c r="Y70" s="8"/>
      <c r="Z70" s="8"/>
    </row>
    <row r="71" spans="1:26" ht="12.75" customHeight="1" x14ac:dyDescent="0.25">
      <c r="A71" s="133"/>
      <c r="B71" s="8"/>
      <c r="C71" s="8"/>
      <c r="D71" s="8"/>
      <c r="E71" s="8"/>
      <c r="F71" s="8"/>
      <c r="G71" s="8"/>
      <c r="H71" s="8"/>
      <c r="I71" s="8"/>
      <c r="J71" s="8"/>
      <c r="K71" s="8"/>
      <c r="L71" s="94"/>
      <c r="M71" s="8"/>
      <c r="N71" s="8"/>
      <c r="O71" s="8"/>
      <c r="P71" s="8"/>
      <c r="Q71" s="8"/>
      <c r="R71" s="8"/>
      <c r="S71" s="8"/>
      <c r="T71" s="8"/>
      <c r="U71" s="8"/>
      <c r="V71" s="8"/>
      <c r="W71" s="8"/>
      <c r="X71" s="8"/>
      <c r="Y71" s="8"/>
      <c r="Z71" s="8"/>
    </row>
    <row r="72" spans="1:26" ht="12.75" customHeight="1" x14ac:dyDescent="0.25">
      <c r="A72" s="133"/>
      <c r="B72" s="8"/>
      <c r="C72" s="8"/>
      <c r="D72" s="8"/>
      <c r="E72" s="8"/>
      <c r="F72" s="8"/>
      <c r="G72" s="8"/>
      <c r="H72" s="8"/>
      <c r="I72" s="8"/>
      <c r="J72" s="8"/>
      <c r="K72" s="8"/>
      <c r="L72" s="94"/>
      <c r="M72" s="8"/>
      <c r="N72" s="8"/>
      <c r="O72" s="8"/>
      <c r="P72" s="8"/>
      <c r="Q72" s="8"/>
      <c r="R72" s="8"/>
      <c r="S72" s="8"/>
      <c r="T72" s="8"/>
      <c r="U72" s="8"/>
      <c r="V72" s="8"/>
      <c r="W72" s="8"/>
      <c r="X72" s="8"/>
      <c r="Y72" s="8"/>
      <c r="Z72" s="8"/>
    </row>
    <row r="73" spans="1:26" ht="12.75" customHeight="1" x14ac:dyDescent="0.25">
      <c r="A73" s="133"/>
      <c r="B73" s="8"/>
      <c r="C73" s="8"/>
      <c r="D73" s="8"/>
      <c r="E73" s="8"/>
      <c r="F73" s="8"/>
      <c r="G73" s="8"/>
      <c r="H73" s="8"/>
      <c r="I73" s="8"/>
      <c r="J73" s="8"/>
      <c r="K73" s="8"/>
      <c r="L73" s="94"/>
      <c r="M73" s="8"/>
      <c r="N73" s="8"/>
      <c r="O73" s="8"/>
      <c r="P73" s="8"/>
      <c r="Q73" s="8"/>
      <c r="R73" s="8"/>
      <c r="S73" s="8"/>
      <c r="T73" s="8"/>
      <c r="U73" s="8"/>
      <c r="V73" s="8"/>
      <c r="W73" s="8"/>
      <c r="X73" s="8"/>
      <c r="Y73" s="8"/>
      <c r="Z73" s="8"/>
    </row>
    <row r="74" spans="1:26" ht="12.75" customHeight="1" x14ac:dyDescent="0.25">
      <c r="A74" s="133"/>
      <c r="B74" s="8"/>
      <c r="C74" s="8"/>
      <c r="D74" s="8"/>
      <c r="E74" s="8"/>
      <c r="F74" s="8"/>
      <c r="G74" s="8"/>
      <c r="H74" s="8"/>
      <c r="I74" s="8"/>
      <c r="J74" s="8"/>
      <c r="K74" s="8"/>
      <c r="L74" s="94"/>
      <c r="M74" s="8"/>
      <c r="N74" s="8"/>
      <c r="O74" s="8"/>
      <c r="P74" s="8"/>
      <c r="Q74" s="8"/>
      <c r="R74" s="8"/>
      <c r="S74" s="8"/>
      <c r="T74" s="8"/>
      <c r="U74" s="8"/>
      <c r="V74" s="8"/>
      <c r="W74" s="8"/>
      <c r="X74" s="8"/>
      <c r="Y74" s="8"/>
      <c r="Z74" s="8"/>
    </row>
    <row r="75" spans="1:26" ht="12.75" customHeight="1" x14ac:dyDescent="0.25">
      <c r="A75" s="133"/>
      <c r="B75" s="8"/>
      <c r="C75" s="8"/>
      <c r="D75" s="8"/>
      <c r="E75" s="8"/>
      <c r="F75" s="8"/>
      <c r="G75" s="8"/>
      <c r="H75" s="8"/>
      <c r="I75" s="8"/>
      <c r="J75" s="8"/>
      <c r="K75" s="8"/>
      <c r="L75" s="94"/>
      <c r="M75" s="8"/>
      <c r="N75" s="8"/>
      <c r="O75" s="8"/>
      <c r="P75" s="8"/>
      <c r="Q75" s="8"/>
      <c r="R75" s="8"/>
      <c r="S75" s="8"/>
      <c r="T75" s="8"/>
      <c r="U75" s="8"/>
      <c r="V75" s="8"/>
      <c r="W75" s="8"/>
      <c r="X75" s="8"/>
      <c r="Y75" s="8"/>
      <c r="Z75" s="8"/>
    </row>
    <row r="76" spans="1:26" ht="12.75" customHeight="1" x14ac:dyDescent="0.25">
      <c r="A76" s="133"/>
      <c r="B76" s="8"/>
      <c r="C76" s="8"/>
      <c r="D76" s="8"/>
      <c r="E76" s="8"/>
      <c r="F76" s="8"/>
      <c r="G76" s="8"/>
      <c r="H76" s="8"/>
      <c r="I76" s="8"/>
      <c r="J76" s="8"/>
      <c r="K76" s="8"/>
      <c r="L76" s="94"/>
      <c r="M76" s="8"/>
      <c r="N76" s="8"/>
      <c r="O76" s="8"/>
      <c r="P76" s="8"/>
      <c r="Q76" s="8"/>
      <c r="R76" s="8"/>
      <c r="S76" s="8"/>
      <c r="T76" s="8"/>
      <c r="U76" s="8"/>
      <c r="V76" s="8"/>
      <c r="W76" s="8"/>
      <c r="X76" s="8"/>
      <c r="Y76" s="8"/>
      <c r="Z76" s="8"/>
    </row>
    <row r="77" spans="1:26" ht="12.75" customHeight="1" x14ac:dyDescent="0.25">
      <c r="A77" s="133"/>
      <c r="B77" s="8"/>
      <c r="C77" s="8"/>
      <c r="D77" s="8"/>
      <c r="E77" s="8"/>
      <c r="F77" s="8"/>
      <c r="G77" s="8"/>
      <c r="H77" s="8"/>
      <c r="I77" s="8"/>
      <c r="J77" s="8"/>
      <c r="K77" s="8"/>
      <c r="L77" s="94"/>
      <c r="M77" s="8"/>
      <c r="N77" s="8"/>
      <c r="O77" s="8"/>
      <c r="P77" s="8"/>
      <c r="Q77" s="8"/>
      <c r="R77" s="8"/>
      <c r="S77" s="8"/>
      <c r="T77" s="8"/>
      <c r="U77" s="8"/>
      <c r="V77" s="8"/>
      <c r="W77" s="8"/>
      <c r="X77" s="8"/>
      <c r="Y77" s="8"/>
      <c r="Z77" s="8"/>
    </row>
    <row r="78" spans="1:26" ht="12.75" customHeight="1" x14ac:dyDescent="0.25">
      <c r="A78" s="133"/>
      <c r="B78" s="8"/>
      <c r="C78" s="8"/>
      <c r="D78" s="8"/>
      <c r="E78" s="8"/>
      <c r="F78" s="8"/>
      <c r="G78" s="8"/>
      <c r="H78" s="8"/>
      <c r="I78" s="8"/>
      <c r="J78" s="8"/>
      <c r="K78" s="8"/>
      <c r="L78" s="94"/>
      <c r="M78" s="8"/>
      <c r="N78" s="8"/>
      <c r="O78" s="8"/>
      <c r="P78" s="8"/>
      <c r="Q78" s="8"/>
      <c r="R78" s="8"/>
      <c r="S78" s="8"/>
      <c r="T78" s="8"/>
      <c r="U78" s="8"/>
      <c r="V78" s="8"/>
      <c r="W78" s="8"/>
      <c r="X78" s="8"/>
      <c r="Y78" s="8"/>
      <c r="Z78" s="8"/>
    </row>
    <row r="79" spans="1:26" ht="12.75" customHeight="1" x14ac:dyDescent="0.25">
      <c r="A79" s="133"/>
      <c r="B79" s="8"/>
      <c r="C79" s="8"/>
      <c r="D79" s="8"/>
      <c r="E79" s="8"/>
      <c r="F79" s="8"/>
      <c r="G79" s="8"/>
      <c r="H79" s="8"/>
      <c r="I79" s="8"/>
      <c r="J79" s="8"/>
      <c r="K79" s="8"/>
      <c r="L79" s="94"/>
      <c r="M79" s="8"/>
      <c r="N79" s="8"/>
      <c r="O79" s="8"/>
      <c r="P79" s="8"/>
      <c r="Q79" s="8"/>
      <c r="R79" s="8"/>
      <c r="S79" s="8"/>
      <c r="T79" s="8"/>
      <c r="U79" s="8"/>
      <c r="V79" s="8"/>
      <c r="W79" s="8"/>
      <c r="X79" s="8"/>
      <c r="Y79" s="8"/>
      <c r="Z79" s="8"/>
    </row>
    <row r="80" spans="1:26" ht="12.75" customHeight="1" x14ac:dyDescent="0.25">
      <c r="A80" s="133"/>
      <c r="B80" s="8"/>
      <c r="C80" s="8"/>
      <c r="D80" s="8"/>
      <c r="E80" s="8"/>
      <c r="F80" s="8"/>
      <c r="G80" s="8"/>
      <c r="H80" s="8"/>
      <c r="I80" s="8"/>
      <c r="J80" s="8"/>
      <c r="K80" s="8"/>
      <c r="L80" s="94"/>
      <c r="M80" s="8"/>
      <c r="N80" s="8"/>
      <c r="O80" s="8"/>
      <c r="P80" s="8"/>
      <c r="Q80" s="8"/>
      <c r="R80" s="8"/>
      <c r="S80" s="8"/>
      <c r="T80" s="8"/>
      <c r="U80" s="8"/>
      <c r="V80" s="8"/>
      <c r="W80" s="8"/>
      <c r="X80" s="8"/>
      <c r="Y80" s="8"/>
      <c r="Z80" s="8"/>
    </row>
    <row r="81" spans="1:26" ht="12.75" customHeight="1" x14ac:dyDescent="0.25">
      <c r="A81" s="133"/>
      <c r="B81" s="8"/>
      <c r="C81" s="8"/>
      <c r="D81" s="8"/>
      <c r="E81" s="8"/>
      <c r="F81" s="8"/>
      <c r="G81" s="8"/>
      <c r="H81" s="8"/>
      <c r="I81" s="8"/>
      <c r="J81" s="8"/>
      <c r="K81" s="8"/>
      <c r="L81" s="94"/>
      <c r="M81" s="8"/>
      <c r="N81" s="8"/>
      <c r="O81" s="8"/>
      <c r="P81" s="8"/>
      <c r="Q81" s="8"/>
      <c r="R81" s="8"/>
      <c r="S81" s="8"/>
      <c r="T81" s="8"/>
      <c r="U81" s="8"/>
      <c r="V81" s="8"/>
      <c r="W81" s="8"/>
      <c r="X81" s="8"/>
      <c r="Y81" s="8"/>
      <c r="Z81" s="8"/>
    </row>
    <row r="82" spans="1:26" ht="12.75" customHeight="1" x14ac:dyDescent="0.25">
      <c r="A82" s="133"/>
      <c r="B82" s="8"/>
      <c r="C82" s="8"/>
      <c r="D82" s="8"/>
      <c r="E82" s="8"/>
      <c r="F82" s="8"/>
      <c r="G82" s="8"/>
      <c r="H82" s="8"/>
      <c r="I82" s="8"/>
      <c r="J82" s="8"/>
      <c r="K82" s="8"/>
      <c r="L82" s="94"/>
      <c r="M82" s="8"/>
      <c r="N82" s="8"/>
      <c r="O82" s="8"/>
      <c r="P82" s="8"/>
      <c r="Q82" s="8"/>
      <c r="R82" s="8"/>
      <c r="S82" s="8"/>
      <c r="T82" s="8"/>
      <c r="U82" s="8"/>
      <c r="V82" s="8"/>
      <c r="W82" s="8"/>
      <c r="X82" s="8"/>
      <c r="Y82" s="8"/>
      <c r="Z82" s="8"/>
    </row>
    <row r="83" spans="1:26" ht="12.75" customHeight="1" x14ac:dyDescent="0.25">
      <c r="A83" s="133"/>
      <c r="B83" s="8"/>
      <c r="C83" s="8"/>
      <c r="D83" s="8"/>
      <c r="E83" s="8"/>
      <c r="F83" s="8"/>
      <c r="G83" s="8"/>
      <c r="H83" s="8"/>
      <c r="I83" s="8"/>
      <c r="J83" s="8"/>
      <c r="K83" s="8"/>
      <c r="L83" s="94"/>
      <c r="M83" s="8"/>
      <c r="N83" s="8"/>
      <c r="O83" s="8"/>
      <c r="P83" s="8"/>
      <c r="Q83" s="8"/>
      <c r="R83" s="8"/>
      <c r="S83" s="8"/>
      <c r="T83" s="8"/>
      <c r="U83" s="8"/>
      <c r="V83" s="8"/>
      <c r="W83" s="8"/>
      <c r="X83" s="8"/>
      <c r="Y83" s="8"/>
      <c r="Z83" s="8"/>
    </row>
    <row r="84" spans="1:26" ht="12.75" customHeight="1" x14ac:dyDescent="0.25">
      <c r="A84" s="133"/>
      <c r="B84" s="8"/>
      <c r="C84" s="8"/>
      <c r="D84" s="8"/>
      <c r="E84" s="8"/>
      <c r="F84" s="8"/>
      <c r="G84" s="8"/>
      <c r="H84" s="8"/>
      <c r="I84" s="8"/>
      <c r="J84" s="8"/>
      <c r="K84" s="8"/>
      <c r="L84" s="94"/>
      <c r="M84" s="8"/>
      <c r="N84" s="8"/>
      <c r="O84" s="8"/>
      <c r="P84" s="8"/>
      <c r="Q84" s="8"/>
      <c r="R84" s="8"/>
      <c r="S84" s="8"/>
      <c r="T84" s="8"/>
      <c r="U84" s="8"/>
      <c r="V84" s="8"/>
      <c r="W84" s="8"/>
      <c r="X84" s="8"/>
      <c r="Y84" s="8"/>
      <c r="Z84" s="8"/>
    </row>
    <row r="85" spans="1:26" ht="12.75" customHeight="1" x14ac:dyDescent="0.25">
      <c r="A85" s="133"/>
      <c r="B85" s="8"/>
      <c r="C85" s="8"/>
      <c r="D85" s="8"/>
      <c r="E85" s="8"/>
      <c r="F85" s="8"/>
      <c r="G85" s="8"/>
      <c r="H85" s="8"/>
      <c r="I85" s="8"/>
      <c r="J85" s="8"/>
      <c r="K85" s="8"/>
      <c r="L85" s="94"/>
      <c r="M85" s="8"/>
      <c r="N85" s="8"/>
      <c r="O85" s="8"/>
      <c r="P85" s="8"/>
      <c r="Q85" s="8"/>
      <c r="R85" s="8"/>
      <c r="S85" s="8"/>
      <c r="T85" s="8"/>
      <c r="U85" s="8"/>
      <c r="V85" s="8"/>
      <c r="W85" s="8"/>
      <c r="X85" s="8"/>
      <c r="Y85" s="8"/>
      <c r="Z85" s="8"/>
    </row>
    <row r="86" spans="1:26" ht="12.75" customHeight="1" x14ac:dyDescent="0.25">
      <c r="A86" s="133"/>
      <c r="B86" s="8"/>
      <c r="C86" s="8"/>
      <c r="D86" s="8"/>
      <c r="E86" s="8"/>
      <c r="F86" s="8"/>
      <c r="G86" s="8"/>
      <c r="H86" s="8"/>
      <c r="I86" s="8"/>
      <c r="J86" s="8"/>
      <c r="K86" s="8"/>
      <c r="L86" s="94"/>
      <c r="M86" s="8"/>
      <c r="N86" s="8"/>
      <c r="O86" s="8"/>
      <c r="P86" s="8"/>
      <c r="Q86" s="8"/>
      <c r="R86" s="8"/>
      <c r="S86" s="8"/>
      <c r="T86" s="8"/>
      <c r="U86" s="8"/>
      <c r="V86" s="8"/>
      <c r="W86" s="8"/>
      <c r="X86" s="8"/>
      <c r="Y86" s="8"/>
      <c r="Z86" s="8"/>
    </row>
    <row r="87" spans="1:26" ht="12.75" customHeight="1" x14ac:dyDescent="0.25">
      <c r="A87" s="133"/>
      <c r="B87" s="8"/>
      <c r="C87" s="8"/>
      <c r="D87" s="8"/>
      <c r="E87" s="8"/>
      <c r="F87" s="8"/>
      <c r="G87" s="8"/>
      <c r="H87" s="8"/>
      <c r="I87" s="8"/>
      <c r="J87" s="8"/>
      <c r="K87" s="8"/>
      <c r="L87" s="94"/>
      <c r="M87" s="8"/>
      <c r="N87" s="8"/>
      <c r="O87" s="8"/>
      <c r="P87" s="8"/>
      <c r="Q87" s="8"/>
      <c r="R87" s="8"/>
      <c r="S87" s="8"/>
      <c r="T87" s="8"/>
      <c r="U87" s="8"/>
      <c r="V87" s="8"/>
      <c r="W87" s="8"/>
      <c r="X87" s="8"/>
      <c r="Y87" s="8"/>
      <c r="Z87" s="8"/>
    </row>
    <row r="88" spans="1:26" ht="12.75" customHeight="1" x14ac:dyDescent="0.25">
      <c r="A88" s="133"/>
      <c r="B88" s="8"/>
      <c r="C88" s="8"/>
      <c r="D88" s="8"/>
      <c r="E88" s="8"/>
      <c r="F88" s="8"/>
      <c r="G88" s="8"/>
      <c r="H88" s="8"/>
      <c r="I88" s="8"/>
      <c r="J88" s="8"/>
      <c r="K88" s="8"/>
      <c r="L88" s="94"/>
      <c r="M88" s="8"/>
      <c r="N88" s="8"/>
      <c r="O88" s="8"/>
      <c r="P88" s="8"/>
      <c r="Q88" s="8"/>
      <c r="R88" s="8"/>
      <c r="S88" s="8"/>
      <c r="T88" s="8"/>
      <c r="U88" s="8"/>
      <c r="V88" s="8"/>
      <c r="W88" s="8"/>
      <c r="X88" s="8"/>
      <c r="Y88" s="8"/>
      <c r="Z88" s="8"/>
    </row>
    <row r="89" spans="1:26" ht="12.75" customHeight="1" x14ac:dyDescent="0.25">
      <c r="A89" s="133"/>
      <c r="B89" s="8"/>
      <c r="C89" s="8"/>
      <c r="D89" s="8"/>
      <c r="E89" s="8"/>
      <c r="F89" s="8"/>
      <c r="G89" s="8"/>
      <c r="H89" s="8"/>
      <c r="I89" s="8"/>
      <c r="J89" s="8"/>
      <c r="K89" s="8"/>
      <c r="L89" s="94"/>
      <c r="M89" s="8"/>
      <c r="N89" s="8"/>
      <c r="O89" s="8"/>
      <c r="P89" s="8"/>
      <c r="Q89" s="8"/>
      <c r="R89" s="8"/>
      <c r="S89" s="8"/>
      <c r="T89" s="8"/>
      <c r="U89" s="8"/>
      <c r="V89" s="8"/>
      <c r="W89" s="8"/>
      <c r="X89" s="8"/>
      <c r="Y89" s="8"/>
      <c r="Z89" s="8"/>
    </row>
    <row r="90" spans="1:26" ht="12.75" customHeight="1" x14ac:dyDescent="0.25">
      <c r="A90" s="133"/>
      <c r="B90" s="8"/>
      <c r="C90" s="8"/>
      <c r="D90" s="8"/>
      <c r="E90" s="8"/>
      <c r="F90" s="8"/>
      <c r="G90" s="8"/>
      <c r="H90" s="8"/>
      <c r="I90" s="8"/>
      <c r="J90" s="8"/>
      <c r="K90" s="8"/>
      <c r="L90" s="94"/>
      <c r="M90" s="8"/>
      <c r="N90" s="8"/>
      <c r="O90" s="8"/>
      <c r="P90" s="8"/>
      <c r="Q90" s="8"/>
      <c r="R90" s="8"/>
      <c r="S90" s="8"/>
      <c r="T90" s="8"/>
      <c r="U90" s="8"/>
      <c r="V90" s="8"/>
      <c r="W90" s="8"/>
      <c r="X90" s="8"/>
      <c r="Y90" s="8"/>
      <c r="Z90" s="8"/>
    </row>
    <row r="91" spans="1:26" ht="12.75" customHeight="1" x14ac:dyDescent="0.25">
      <c r="A91" s="133"/>
      <c r="B91" s="8"/>
      <c r="C91" s="8"/>
      <c r="D91" s="8"/>
      <c r="E91" s="8"/>
      <c r="F91" s="8"/>
      <c r="G91" s="8"/>
      <c r="H91" s="8"/>
      <c r="I91" s="8"/>
      <c r="J91" s="8"/>
      <c r="K91" s="8"/>
      <c r="L91" s="94"/>
      <c r="M91" s="8"/>
      <c r="N91" s="8"/>
      <c r="O91" s="8"/>
      <c r="P91" s="8"/>
      <c r="Q91" s="8"/>
      <c r="R91" s="8"/>
      <c r="S91" s="8"/>
      <c r="T91" s="8"/>
      <c r="U91" s="8"/>
      <c r="V91" s="8"/>
      <c r="W91" s="8"/>
      <c r="X91" s="8"/>
      <c r="Y91" s="8"/>
      <c r="Z91" s="8"/>
    </row>
    <row r="92" spans="1:26" ht="12.75" customHeight="1" x14ac:dyDescent="0.25">
      <c r="A92" s="133"/>
      <c r="B92" s="8"/>
      <c r="C92" s="8"/>
      <c r="D92" s="8"/>
      <c r="E92" s="8"/>
      <c r="F92" s="8"/>
      <c r="G92" s="8"/>
      <c r="H92" s="8"/>
      <c r="I92" s="8"/>
      <c r="J92" s="8"/>
      <c r="K92" s="8"/>
      <c r="L92" s="94"/>
      <c r="M92" s="8"/>
      <c r="N92" s="8"/>
      <c r="O92" s="8"/>
      <c r="P92" s="8"/>
      <c r="Q92" s="8"/>
      <c r="R92" s="8"/>
      <c r="S92" s="8"/>
      <c r="T92" s="8"/>
      <c r="U92" s="8"/>
      <c r="V92" s="8"/>
      <c r="W92" s="8"/>
      <c r="X92" s="8"/>
      <c r="Y92" s="8"/>
      <c r="Z92" s="8"/>
    </row>
    <row r="93" spans="1:26" ht="12.75" customHeight="1" x14ac:dyDescent="0.25">
      <c r="A93" s="133"/>
      <c r="B93" s="8"/>
      <c r="C93" s="8"/>
      <c r="D93" s="8"/>
      <c r="E93" s="8"/>
      <c r="F93" s="8"/>
      <c r="G93" s="8"/>
      <c r="H93" s="8"/>
      <c r="I93" s="8"/>
      <c r="J93" s="8"/>
      <c r="K93" s="8"/>
      <c r="L93" s="94"/>
      <c r="M93" s="8"/>
      <c r="N93" s="8"/>
      <c r="O93" s="8"/>
      <c r="P93" s="8"/>
      <c r="Q93" s="8"/>
      <c r="R93" s="8"/>
      <c r="S93" s="8"/>
      <c r="T93" s="8"/>
      <c r="U93" s="8"/>
      <c r="V93" s="8"/>
      <c r="W93" s="8"/>
      <c r="X93" s="8"/>
      <c r="Y93" s="8"/>
      <c r="Z93" s="8"/>
    </row>
    <row r="94" spans="1:26" ht="12.75" customHeight="1" x14ac:dyDescent="0.25">
      <c r="A94" s="133"/>
      <c r="B94" s="8"/>
      <c r="C94" s="8"/>
      <c r="D94" s="8"/>
      <c r="E94" s="8"/>
      <c r="F94" s="8"/>
      <c r="G94" s="8"/>
      <c r="H94" s="8"/>
      <c r="I94" s="8"/>
      <c r="J94" s="8"/>
      <c r="K94" s="8"/>
      <c r="L94" s="94"/>
      <c r="M94" s="8"/>
      <c r="N94" s="8"/>
      <c r="O94" s="8"/>
      <c r="P94" s="8"/>
      <c r="Q94" s="8"/>
      <c r="R94" s="8"/>
      <c r="S94" s="8"/>
      <c r="T94" s="8"/>
      <c r="U94" s="8"/>
      <c r="V94" s="8"/>
      <c r="W94" s="8"/>
      <c r="X94" s="8"/>
      <c r="Y94" s="8"/>
      <c r="Z94" s="8"/>
    </row>
    <row r="95" spans="1:26" ht="12.75" customHeight="1" x14ac:dyDescent="0.25">
      <c r="A95" s="133"/>
      <c r="B95" s="8"/>
      <c r="C95" s="8"/>
      <c r="D95" s="8"/>
      <c r="E95" s="8"/>
      <c r="F95" s="8"/>
      <c r="G95" s="8"/>
      <c r="H95" s="8"/>
      <c r="I95" s="8"/>
      <c r="J95" s="8"/>
      <c r="K95" s="8"/>
      <c r="L95" s="94"/>
      <c r="M95" s="8"/>
      <c r="N95" s="8"/>
      <c r="O95" s="8"/>
      <c r="P95" s="8"/>
      <c r="Q95" s="8"/>
      <c r="R95" s="8"/>
      <c r="S95" s="8"/>
      <c r="T95" s="8"/>
      <c r="U95" s="8"/>
      <c r="V95" s="8"/>
      <c r="W95" s="8"/>
      <c r="X95" s="8"/>
      <c r="Y95" s="8"/>
      <c r="Z95" s="8"/>
    </row>
    <row r="96" spans="1:26" ht="12.75" customHeight="1" x14ac:dyDescent="0.25">
      <c r="A96" s="133"/>
      <c r="B96" s="8"/>
      <c r="C96" s="8"/>
      <c r="D96" s="8"/>
      <c r="E96" s="8"/>
      <c r="F96" s="8"/>
      <c r="G96" s="8"/>
      <c r="H96" s="8"/>
      <c r="I96" s="8"/>
      <c r="J96" s="8"/>
      <c r="K96" s="8"/>
      <c r="L96" s="94"/>
      <c r="M96" s="8"/>
      <c r="N96" s="8"/>
      <c r="O96" s="8"/>
      <c r="P96" s="8"/>
      <c r="Q96" s="8"/>
      <c r="R96" s="8"/>
      <c r="S96" s="8"/>
      <c r="T96" s="8"/>
      <c r="U96" s="8"/>
      <c r="V96" s="8"/>
      <c r="W96" s="8"/>
      <c r="X96" s="8"/>
      <c r="Y96" s="8"/>
      <c r="Z96" s="8"/>
    </row>
    <row r="97" spans="1:26" ht="12.75" customHeight="1" x14ac:dyDescent="0.25">
      <c r="A97" s="133"/>
      <c r="B97" s="8"/>
      <c r="C97" s="8"/>
      <c r="D97" s="8"/>
      <c r="E97" s="8"/>
      <c r="F97" s="8"/>
      <c r="G97" s="8"/>
      <c r="H97" s="8"/>
      <c r="I97" s="8"/>
      <c r="J97" s="8"/>
      <c r="K97" s="8"/>
      <c r="L97" s="94"/>
      <c r="M97" s="8"/>
      <c r="N97" s="8"/>
      <c r="O97" s="8"/>
      <c r="P97" s="8"/>
      <c r="Q97" s="8"/>
      <c r="R97" s="8"/>
      <c r="S97" s="8"/>
      <c r="T97" s="8"/>
      <c r="U97" s="8"/>
      <c r="V97" s="8"/>
      <c r="W97" s="8"/>
      <c r="X97" s="8"/>
      <c r="Y97" s="8"/>
      <c r="Z97" s="8"/>
    </row>
    <row r="98" spans="1:26" ht="12.75" customHeight="1" x14ac:dyDescent="0.25">
      <c r="A98" s="133"/>
      <c r="B98" s="8"/>
      <c r="C98" s="8"/>
      <c r="D98" s="8"/>
      <c r="E98" s="8"/>
      <c r="F98" s="8"/>
      <c r="G98" s="8"/>
      <c r="H98" s="8"/>
      <c r="I98" s="8"/>
      <c r="J98" s="8"/>
      <c r="K98" s="8"/>
      <c r="L98" s="94"/>
      <c r="M98" s="8"/>
      <c r="N98" s="8"/>
      <c r="O98" s="8"/>
      <c r="P98" s="8"/>
      <c r="Q98" s="8"/>
      <c r="R98" s="8"/>
      <c r="S98" s="8"/>
      <c r="T98" s="8"/>
      <c r="U98" s="8"/>
      <c r="V98" s="8"/>
      <c r="W98" s="8"/>
      <c r="X98" s="8"/>
      <c r="Y98" s="8"/>
      <c r="Z98" s="8"/>
    </row>
    <row r="99" spans="1:26" ht="12.75" customHeight="1" x14ac:dyDescent="0.25">
      <c r="A99" s="133"/>
      <c r="B99" s="8"/>
      <c r="C99" s="8"/>
      <c r="D99" s="8"/>
      <c r="E99" s="8"/>
      <c r="F99" s="8"/>
      <c r="G99" s="8"/>
      <c r="H99" s="8"/>
      <c r="I99" s="8"/>
      <c r="J99" s="8"/>
      <c r="K99" s="8"/>
      <c r="L99" s="94"/>
      <c r="M99" s="8"/>
      <c r="N99" s="8"/>
      <c r="O99" s="8"/>
      <c r="P99" s="8"/>
      <c r="Q99" s="8"/>
      <c r="R99" s="8"/>
      <c r="S99" s="8"/>
      <c r="T99" s="8"/>
      <c r="U99" s="8"/>
      <c r="V99" s="8"/>
      <c r="W99" s="8"/>
      <c r="X99" s="8"/>
      <c r="Y99" s="8"/>
      <c r="Z99" s="8"/>
    </row>
    <row r="100" spans="1:26" ht="12.75" customHeight="1" x14ac:dyDescent="0.25">
      <c r="A100" s="133"/>
      <c r="B100" s="8"/>
      <c r="C100" s="8"/>
      <c r="D100" s="8"/>
      <c r="E100" s="8"/>
      <c r="F100" s="8"/>
      <c r="G100" s="8"/>
      <c r="H100" s="8"/>
      <c r="I100" s="8"/>
      <c r="J100" s="8"/>
      <c r="K100" s="8"/>
      <c r="L100" s="94"/>
      <c r="M100" s="8"/>
      <c r="N100" s="8"/>
      <c r="O100" s="8"/>
      <c r="P100" s="8"/>
      <c r="Q100" s="8"/>
      <c r="R100" s="8"/>
      <c r="S100" s="8"/>
      <c r="T100" s="8"/>
      <c r="U100" s="8"/>
      <c r="V100" s="8"/>
      <c r="W100" s="8"/>
      <c r="X100" s="8"/>
      <c r="Y100" s="8"/>
      <c r="Z100" s="8"/>
    </row>
    <row r="101" spans="1:26" ht="12.75" customHeight="1" x14ac:dyDescent="0.25">
      <c r="A101" s="133"/>
      <c r="B101" s="8"/>
      <c r="C101" s="8"/>
      <c r="D101" s="8"/>
      <c r="E101" s="8"/>
      <c r="F101" s="8"/>
      <c r="G101" s="8"/>
      <c r="H101" s="8"/>
      <c r="I101" s="8"/>
      <c r="J101" s="8"/>
      <c r="K101" s="8"/>
      <c r="L101" s="94"/>
      <c r="M101" s="8"/>
      <c r="N101" s="8"/>
      <c r="O101" s="8"/>
      <c r="P101" s="8"/>
      <c r="Q101" s="8"/>
      <c r="R101" s="8"/>
      <c r="S101" s="8"/>
      <c r="T101" s="8"/>
      <c r="U101" s="8"/>
      <c r="V101" s="8"/>
      <c r="W101" s="8"/>
      <c r="X101" s="8"/>
      <c r="Y101" s="8"/>
      <c r="Z101" s="8"/>
    </row>
    <row r="102" spans="1:26" ht="12.75" customHeight="1" x14ac:dyDescent="0.25">
      <c r="A102" s="133"/>
      <c r="B102" s="8"/>
      <c r="C102" s="8"/>
      <c r="D102" s="8"/>
      <c r="E102" s="8"/>
      <c r="F102" s="8"/>
      <c r="G102" s="8"/>
      <c r="H102" s="8"/>
      <c r="I102" s="8"/>
      <c r="J102" s="8"/>
      <c r="K102" s="8"/>
      <c r="L102" s="94"/>
      <c r="M102" s="8"/>
      <c r="N102" s="8"/>
      <c r="O102" s="8"/>
      <c r="P102" s="8"/>
      <c r="Q102" s="8"/>
      <c r="R102" s="8"/>
      <c r="S102" s="8"/>
      <c r="T102" s="8"/>
      <c r="U102" s="8"/>
      <c r="V102" s="8"/>
      <c r="W102" s="8"/>
      <c r="X102" s="8"/>
      <c r="Y102" s="8"/>
      <c r="Z102" s="8"/>
    </row>
    <row r="103" spans="1:26" ht="12.75" customHeight="1" x14ac:dyDescent="0.25">
      <c r="A103" s="133"/>
      <c r="B103" s="8"/>
      <c r="C103" s="8"/>
      <c r="D103" s="8"/>
      <c r="E103" s="8"/>
      <c r="F103" s="8"/>
      <c r="G103" s="8"/>
      <c r="H103" s="8"/>
      <c r="I103" s="8"/>
      <c r="J103" s="8"/>
      <c r="K103" s="8"/>
      <c r="L103" s="94"/>
      <c r="M103" s="8"/>
      <c r="N103" s="8"/>
      <c r="O103" s="8"/>
      <c r="P103" s="8"/>
      <c r="Q103" s="8"/>
      <c r="R103" s="8"/>
      <c r="S103" s="8"/>
      <c r="T103" s="8"/>
      <c r="U103" s="8"/>
      <c r="V103" s="8"/>
      <c r="W103" s="8"/>
      <c r="X103" s="8"/>
      <c r="Y103" s="8"/>
      <c r="Z103" s="8"/>
    </row>
    <row r="104" spans="1:26" ht="12.75" customHeight="1" x14ac:dyDescent="0.25">
      <c r="A104" s="133"/>
      <c r="B104" s="8"/>
      <c r="C104" s="8"/>
      <c r="D104" s="8"/>
      <c r="E104" s="8"/>
      <c r="F104" s="8"/>
      <c r="G104" s="8"/>
      <c r="H104" s="8"/>
      <c r="I104" s="8"/>
      <c r="J104" s="8"/>
      <c r="K104" s="8"/>
      <c r="L104" s="94"/>
      <c r="M104" s="8"/>
      <c r="N104" s="8"/>
      <c r="O104" s="8"/>
      <c r="P104" s="8"/>
      <c r="Q104" s="8"/>
      <c r="R104" s="8"/>
      <c r="S104" s="8"/>
      <c r="T104" s="8"/>
      <c r="U104" s="8"/>
      <c r="V104" s="8"/>
      <c r="W104" s="8"/>
      <c r="X104" s="8"/>
      <c r="Y104" s="8"/>
      <c r="Z104" s="8"/>
    </row>
    <row r="105" spans="1:26" ht="12.75" customHeight="1" x14ac:dyDescent="0.25">
      <c r="A105" s="133"/>
      <c r="B105" s="8"/>
      <c r="C105" s="8"/>
      <c r="D105" s="8"/>
      <c r="E105" s="8"/>
      <c r="F105" s="8"/>
      <c r="G105" s="8"/>
      <c r="H105" s="8"/>
      <c r="I105" s="8"/>
      <c r="J105" s="8"/>
      <c r="K105" s="8"/>
      <c r="L105" s="94"/>
      <c r="M105" s="8"/>
      <c r="N105" s="8"/>
      <c r="O105" s="8"/>
      <c r="P105" s="8"/>
      <c r="Q105" s="8"/>
      <c r="R105" s="8"/>
      <c r="S105" s="8"/>
      <c r="T105" s="8"/>
      <c r="U105" s="8"/>
      <c r="V105" s="8"/>
      <c r="W105" s="8"/>
      <c r="X105" s="8"/>
      <c r="Y105" s="8"/>
      <c r="Z105" s="8"/>
    </row>
    <row r="106" spans="1:26" ht="12.75" customHeight="1" x14ac:dyDescent="0.25">
      <c r="A106" s="133"/>
      <c r="B106" s="8"/>
      <c r="C106" s="8"/>
      <c r="D106" s="8"/>
      <c r="E106" s="8"/>
      <c r="F106" s="8"/>
      <c r="G106" s="8"/>
      <c r="H106" s="8"/>
      <c r="I106" s="8"/>
      <c r="J106" s="8"/>
      <c r="K106" s="8"/>
      <c r="L106" s="94"/>
      <c r="M106" s="8"/>
      <c r="N106" s="8"/>
      <c r="O106" s="8"/>
      <c r="P106" s="8"/>
      <c r="Q106" s="8"/>
      <c r="R106" s="8"/>
      <c r="S106" s="8"/>
      <c r="T106" s="8"/>
      <c r="U106" s="8"/>
      <c r="V106" s="8"/>
      <c r="W106" s="8"/>
      <c r="X106" s="8"/>
      <c r="Y106" s="8"/>
      <c r="Z106" s="8"/>
    </row>
    <row r="107" spans="1:26" ht="12.75" customHeight="1" x14ac:dyDescent="0.25">
      <c r="A107" s="133"/>
      <c r="B107" s="8"/>
      <c r="C107" s="8"/>
      <c r="D107" s="8"/>
      <c r="E107" s="8"/>
      <c r="F107" s="8"/>
      <c r="G107" s="8"/>
      <c r="H107" s="8"/>
      <c r="I107" s="8"/>
      <c r="J107" s="8"/>
      <c r="K107" s="8"/>
      <c r="L107" s="94"/>
      <c r="M107" s="8"/>
      <c r="N107" s="8"/>
      <c r="O107" s="8"/>
      <c r="P107" s="8"/>
      <c r="Q107" s="8"/>
      <c r="R107" s="8"/>
      <c r="S107" s="8"/>
      <c r="T107" s="8"/>
      <c r="U107" s="8"/>
      <c r="V107" s="8"/>
      <c r="W107" s="8"/>
      <c r="X107" s="8"/>
      <c r="Y107" s="8"/>
      <c r="Z107" s="8"/>
    </row>
    <row r="108" spans="1:26" ht="12.75" customHeight="1" x14ac:dyDescent="0.25">
      <c r="A108" s="133"/>
      <c r="B108" s="8"/>
      <c r="C108" s="8"/>
      <c r="D108" s="8"/>
      <c r="E108" s="8"/>
      <c r="F108" s="8"/>
      <c r="G108" s="8"/>
      <c r="H108" s="8"/>
      <c r="I108" s="8"/>
      <c r="J108" s="8"/>
      <c r="K108" s="8"/>
      <c r="L108" s="94"/>
      <c r="M108" s="8"/>
      <c r="N108" s="8"/>
      <c r="O108" s="8"/>
      <c r="P108" s="8"/>
      <c r="Q108" s="8"/>
      <c r="R108" s="8"/>
      <c r="S108" s="8"/>
      <c r="T108" s="8"/>
      <c r="U108" s="8"/>
      <c r="V108" s="8"/>
      <c r="W108" s="8"/>
      <c r="X108" s="8"/>
      <c r="Y108" s="8"/>
      <c r="Z108" s="8"/>
    </row>
    <row r="109" spans="1:26" ht="12.75" customHeight="1" x14ac:dyDescent="0.25">
      <c r="A109" s="133"/>
      <c r="B109" s="8"/>
      <c r="C109" s="8"/>
      <c r="D109" s="8"/>
      <c r="E109" s="8"/>
      <c r="F109" s="8"/>
      <c r="G109" s="8"/>
      <c r="H109" s="8"/>
      <c r="I109" s="8"/>
      <c r="J109" s="8"/>
      <c r="K109" s="8"/>
      <c r="L109" s="94"/>
      <c r="M109" s="8"/>
      <c r="N109" s="8"/>
      <c r="O109" s="8"/>
      <c r="P109" s="8"/>
      <c r="Q109" s="8"/>
      <c r="R109" s="8"/>
      <c r="S109" s="8"/>
      <c r="T109" s="8"/>
      <c r="U109" s="8"/>
      <c r="V109" s="8"/>
      <c r="W109" s="8"/>
      <c r="X109" s="8"/>
      <c r="Y109" s="8"/>
      <c r="Z109" s="8"/>
    </row>
    <row r="110" spans="1:26" ht="12.75" customHeight="1" x14ac:dyDescent="0.25">
      <c r="A110" s="133"/>
      <c r="B110" s="8"/>
      <c r="C110" s="8"/>
      <c r="D110" s="8"/>
      <c r="E110" s="8"/>
      <c r="F110" s="8"/>
      <c r="G110" s="8"/>
      <c r="H110" s="8"/>
      <c r="I110" s="8"/>
      <c r="J110" s="8"/>
      <c r="K110" s="8"/>
      <c r="L110" s="94"/>
      <c r="M110" s="8"/>
      <c r="N110" s="8"/>
      <c r="O110" s="8"/>
      <c r="P110" s="8"/>
      <c r="Q110" s="8"/>
      <c r="R110" s="8"/>
      <c r="S110" s="8"/>
      <c r="T110" s="8"/>
      <c r="U110" s="8"/>
      <c r="V110" s="8"/>
      <c r="W110" s="8"/>
      <c r="X110" s="8"/>
      <c r="Y110" s="8"/>
      <c r="Z110" s="8"/>
    </row>
    <row r="111" spans="1:26" ht="12.75" customHeight="1" x14ac:dyDescent="0.25">
      <c r="A111" s="133"/>
      <c r="B111" s="8"/>
      <c r="C111" s="8"/>
      <c r="D111" s="8"/>
      <c r="E111" s="8"/>
      <c r="F111" s="8"/>
      <c r="G111" s="8"/>
      <c r="H111" s="8"/>
      <c r="I111" s="8"/>
      <c r="J111" s="8"/>
      <c r="K111" s="8"/>
      <c r="L111" s="94"/>
      <c r="M111" s="8"/>
      <c r="N111" s="8"/>
      <c r="O111" s="8"/>
      <c r="P111" s="8"/>
      <c r="Q111" s="8"/>
      <c r="R111" s="8"/>
      <c r="S111" s="8"/>
      <c r="T111" s="8"/>
      <c r="U111" s="8"/>
      <c r="V111" s="8"/>
      <c r="W111" s="8"/>
      <c r="X111" s="8"/>
      <c r="Y111" s="8"/>
      <c r="Z111" s="8"/>
    </row>
    <row r="112" spans="1:26" ht="12.75" customHeight="1" x14ac:dyDescent="0.25">
      <c r="A112" s="133"/>
      <c r="B112" s="8"/>
      <c r="C112" s="8"/>
      <c r="D112" s="8"/>
      <c r="E112" s="8"/>
      <c r="F112" s="8"/>
      <c r="G112" s="8"/>
      <c r="H112" s="8"/>
      <c r="I112" s="8"/>
      <c r="J112" s="8"/>
      <c r="K112" s="8"/>
      <c r="L112" s="94"/>
      <c r="M112" s="8"/>
      <c r="N112" s="8"/>
      <c r="O112" s="8"/>
      <c r="P112" s="8"/>
      <c r="Q112" s="8"/>
      <c r="R112" s="8"/>
      <c r="S112" s="8"/>
      <c r="T112" s="8"/>
      <c r="U112" s="8"/>
      <c r="V112" s="8"/>
      <c r="W112" s="8"/>
      <c r="X112" s="8"/>
      <c r="Y112" s="8"/>
      <c r="Z112" s="8"/>
    </row>
    <row r="113" spans="1:26" ht="12.75" customHeight="1" x14ac:dyDescent="0.25">
      <c r="A113" s="133"/>
      <c r="B113" s="8"/>
      <c r="C113" s="8"/>
      <c r="D113" s="8"/>
      <c r="E113" s="8"/>
      <c r="F113" s="8"/>
      <c r="G113" s="8"/>
      <c r="H113" s="8"/>
      <c r="I113" s="8"/>
      <c r="J113" s="8"/>
      <c r="K113" s="8"/>
      <c r="L113" s="94"/>
      <c r="M113" s="8"/>
      <c r="N113" s="8"/>
      <c r="O113" s="8"/>
      <c r="P113" s="8"/>
      <c r="Q113" s="8"/>
      <c r="R113" s="8"/>
      <c r="S113" s="8"/>
      <c r="T113" s="8"/>
      <c r="U113" s="8"/>
      <c r="V113" s="8"/>
      <c r="W113" s="8"/>
      <c r="X113" s="8"/>
      <c r="Y113" s="8"/>
      <c r="Z113" s="8"/>
    </row>
    <row r="114" spans="1:26" ht="12.75" customHeight="1" x14ac:dyDescent="0.25">
      <c r="A114" s="133"/>
      <c r="B114" s="8"/>
      <c r="C114" s="8"/>
      <c r="D114" s="8"/>
      <c r="E114" s="8"/>
      <c r="F114" s="8"/>
      <c r="G114" s="8"/>
      <c r="H114" s="8"/>
      <c r="I114" s="8"/>
      <c r="J114" s="8"/>
      <c r="K114" s="8"/>
      <c r="L114" s="94"/>
      <c r="M114" s="8"/>
      <c r="N114" s="8"/>
      <c r="O114" s="8"/>
      <c r="P114" s="8"/>
      <c r="Q114" s="8"/>
      <c r="R114" s="8"/>
      <c r="S114" s="8"/>
      <c r="T114" s="8"/>
      <c r="U114" s="8"/>
      <c r="V114" s="8"/>
      <c r="W114" s="8"/>
      <c r="X114" s="8"/>
      <c r="Y114" s="8"/>
      <c r="Z114" s="8"/>
    </row>
    <row r="115" spans="1:26" ht="12.75" customHeight="1" x14ac:dyDescent="0.25">
      <c r="A115" s="133"/>
      <c r="B115" s="8"/>
      <c r="C115" s="8"/>
      <c r="D115" s="8"/>
      <c r="E115" s="8"/>
      <c r="F115" s="8"/>
      <c r="G115" s="8"/>
      <c r="H115" s="8"/>
      <c r="I115" s="8"/>
      <c r="J115" s="8"/>
      <c r="K115" s="8"/>
      <c r="L115" s="94"/>
      <c r="M115" s="8"/>
      <c r="N115" s="8"/>
      <c r="O115" s="8"/>
      <c r="P115" s="8"/>
      <c r="Q115" s="8"/>
      <c r="R115" s="8"/>
      <c r="S115" s="8"/>
      <c r="T115" s="8"/>
      <c r="U115" s="8"/>
      <c r="V115" s="8"/>
      <c r="W115" s="8"/>
      <c r="X115" s="8"/>
      <c r="Y115" s="8"/>
      <c r="Z115" s="8"/>
    </row>
    <row r="116" spans="1:26" ht="12.75" customHeight="1" x14ac:dyDescent="0.25">
      <c r="A116" s="133"/>
      <c r="B116" s="8"/>
      <c r="C116" s="8"/>
      <c r="D116" s="8"/>
      <c r="E116" s="8"/>
      <c r="F116" s="8"/>
      <c r="G116" s="8"/>
      <c r="H116" s="8"/>
      <c r="I116" s="8"/>
      <c r="J116" s="8"/>
      <c r="K116" s="8"/>
      <c r="L116" s="94"/>
      <c r="M116" s="8"/>
      <c r="N116" s="8"/>
      <c r="O116" s="8"/>
      <c r="P116" s="8"/>
      <c r="Q116" s="8"/>
      <c r="R116" s="8"/>
      <c r="S116" s="8"/>
      <c r="T116" s="8"/>
      <c r="U116" s="8"/>
      <c r="V116" s="8"/>
      <c r="W116" s="8"/>
      <c r="X116" s="8"/>
      <c r="Y116" s="8"/>
      <c r="Z116" s="8"/>
    </row>
    <row r="117" spans="1:26" ht="12.75" customHeight="1" x14ac:dyDescent="0.25">
      <c r="A117" s="133"/>
      <c r="B117" s="8"/>
      <c r="C117" s="8"/>
      <c r="D117" s="8"/>
      <c r="E117" s="8"/>
      <c r="F117" s="8"/>
      <c r="G117" s="8"/>
      <c r="H117" s="8"/>
      <c r="I117" s="8"/>
      <c r="J117" s="8"/>
      <c r="K117" s="8"/>
      <c r="L117" s="94"/>
      <c r="M117" s="8"/>
      <c r="N117" s="8"/>
      <c r="O117" s="8"/>
      <c r="P117" s="8"/>
      <c r="Q117" s="8"/>
      <c r="R117" s="8"/>
      <c r="S117" s="8"/>
      <c r="T117" s="8"/>
      <c r="U117" s="8"/>
      <c r="V117" s="8"/>
      <c r="W117" s="8"/>
      <c r="X117" s="8"/>
      <c r="Y117" s="8"/>
      <c r="Z117" s="8"/>
    </row>
    <row r="118" spans="1:26" ht="12.75" customHeight="1" x14ac:dyDescent="0.25">
      <c r="A118" s="133"/>
      <c r="B118" s="8"/>
      <c r="C118" s="8"/>
      <c r="D118" s="8"/>
      <c r="E118" s="8"/>
      <c r="F118" s="8"/>
      <c r="G118" s="8"/>
      <c r="H118" s="8"/>
      <c r="I118" s="8"/>
      <c r="J118" s="8"/>
      <c r="K118" s="8"/>
      <c r="L118" s="94"/>
      <c r="M118" s="8"/>
      <c r="N118" s="8"/>
      <c r="O118" s="8"/>
      <c r="P118" s="8"/>
      <c r="Q118" s="8"/>
      <c r="R118" s="8"/>
      <c r="S118" s="8"/>
      <c r="T118" s="8"/>
      <c r="U118" s="8"/>
      <c r="V118" s="8"/>
      <c r="W118" s="8"/>
      <c r="X118" s="8"/>
      <c r="Y118" s="8"/>
      <c r="Z118" s="8"/>
    </row>
    <row r="119" spans="1:26" ht="12.75" customHeight="1" x14ac:dyDescent="0.25">
      <c r="A119" s="133"/>
      <c r="B119" s="8"/>
      <c r="C119" s="8"/>
      <c r="D119" s="8"/>
      <c r="E119" s="8"/>
      <c r="F119" s="8"/>
      <c r="G119" s="8"/>
      <c r="H119" s="8"/>
      <c r="I119" s="8"/>
      <c r="J119" s="8"/>
      <c r="K119" s="8"/>
      <c r="L119" s="94"/>
      <c r="M119" s="8"/>
      <c r="N119" s="8"/>
      <c r="O119" s="8"/>
      <c r="P119" s="8"/>
      <c r="Q119" s="8"/>
      <c r="R119" s="8"/>
      <c r="S119" s="8"/>
      <c r="T119" s="8"/>
      <c r="U119" s="8"/>
      <c r="V119" s="8"/>
      <c r="W119" s="8"/>
      <c r="X119" s="8"/>
      <c r="Y119" s="8"/>
      <c r="Z119" s="8"/>
    </row>
    <row r="120" spans="1:26" ht="12.75" customHeight="1" x14ac:dyDescent="0.25">
      <c r="A120" s="133"/>
      <c r="B120" s="8"/>
      <c r="C120" s="8"/>
      <c r="D120" s="8"/>
      <c r="E120" s="8"/>
      <c r="F120" s="8"/>
      <c r="G120" s="8"/>
      <c r="H120" s="8"/>
      <c r="I120" s="8"/>
      <c r="J120" s="8"/>
      <c r="K120" s="8"/>
      <c r="L120" s="94"/>
      <c r="M120" s="8"/>
      <c r="N120" s="8"/>
      <c r="O120" s="8"/>
      <c r="P120" s="8"/>
      <c r="Q120" s="8"/>
      <c r="R120" s="8"/>
      <c r="S120" s="8"/>
      <c r="T120" s="8"/>
      <c r="U120" s="8"/>
      <c r="V120" s="8"/>
      <c r="W120" s="8"/>
      <c r="X120" s="8"/>
      <c r="Y120" s="8"/>
      <c r="Z120" s="8"/>
    </row>
    <row r="121" spans="1:26" ht="12.75" customHeight="1" x14ac:dyDescent="0.25">
      <c r="A121" s="133"/>
      <c r="B121" s="8"/>
      <c r="C121" s="8"/>
      <c r="D121" s="8"/>
      <c r="E121" s="8"/>
      <c r="F121" s="8"/>
      <c r="G121" s="8"/>
      <c r="H121" s="8"/>
      <c r="I121" s="8"/>
      <c r="J121" s="8"/>
      <c r="K121" s="8"/>
      <c r="L121" s="94"/>
      <c r="M121" s="8"/>
      <c r="N121" s="8"/>
      <c r="O121" s="8"/>
      <c r="P121" s="8"/>
      <c r="Q121" s="8"/>
      <c r="R121" s="8"/>
      <c r="S121" s="8"/>
      <c r="T121" s="8"/>
      <c r="U121" s="8"/>
      <c r="V121" s="8"/>
      <c r="W121" s="8"/>
      <c r="X121" s="8"/>
      <c r="Y121" s="8"/>
      <c r="Z121" s="8"/>
    </row>
    <row r="122" spans="1:26" ht="12.75" customHeight="1" x14ac:dyDescent="0.25">
      <c r="A122" s="133"/>
      <c r="B122" s="8"/>
      <c r="C122" s="8"/>
      <c r="D122" s="8"/>
      <c r="E122" s="8"/>
      <c r="F122" s="8"/>
      <c r="G122" s="8"/>
      <c r="H122" s="8"/>
      <c r="I122" s="8"/>
      <c r="J122" s="8"/>
      <c r="K122" s="8"/>
      <c r="L122" s="94"/>
      <c r="M122" s="8"/>
      <c r="N122" s="8"/>
      <c r="O122" s="8"/>
      <c r="P122" s="8"/>
      <c r="Q122" s="8"/>
      <c r="R122" s="8"/>
      <c r="S122" s="8"/>
      <c r="T122" s="8"/>
      <c r="U122" s="8"/>
      <c r="V122" s="8"/>
      <c r="W122" s="8"/>
      <c r="X122" s="8"/>
      <c r="Y122" s="8"/>
      <c r="Z122" s="8"/>
    </row>
    <row r="123" spans="1:26" ht="12.75" customHeight="1" x14ac:dyDescent="0.25">
      <c r="A123" s="133"/>
      <c r="B123" s="8"/>
      <c r="C123" s="8"/>
      <c r="D123" s="8"/>
      <c r="E123" s="8"/>
      <c r="F123" s="8"/>
      <c r="G123" s="8"/>
      <c r="H123" s="8"/>
      <c r="I123" s="8"/>
      <c r="J123" s="8"/>
      <c r="K123" s="8"/>
      <c r="L123" s="94"/>
      <c r="M123" s="8"/>
      <c r="N123" s="8"/>
      <c r="O123" s="8"/>
      <c r="P123" s="8"/>
      <c r="Q123" s="8"/>
      <c r="R123" s="8"/>
      <c r="S123" s="8"/>
      <c r="T123" s="8"/>
      <c r="U123" s="8"/>
      <c r="V123" s="8"/>
      <c r="W123" s="8"/>
      <c r="X123" s="8"/>
      <c r="Y123" s="8"/>
      <c r="Z123" s="8"/>
    </row>
    <row r="124" spans="1:26" ht="12.75" customHeight="1" x14ac:dyDescent="0.25">
      <c r="A124" s="133"/>
      <c r="B124" s="8"/>
      <c r="C124" s="8"/>
      <c r="D124" s="8"/>
      <c r="E124" s="8"/>
      <c r="F124" s="8"/>
      <c r="G124" s="8"/>
      <c r="H124" s="8"/>
      <c r="I124" s="8"/>
      <c r="J124" s="8"/>
      <c r="K124" s="8"/>
      <c r="L124" s="94"/>
      <c r="M124" s="8"/>
      <c r="N124" s="8"/>
      <c r="O124" s="8"/>
      <c r="P124" s="8"/>
      <c r="Q124" s="8"/>
      <c r="R124" s="8"/>
      <c r="S124" s="8"/>
      <c r="T124" s="8"/>
      <c r="U124" s="8"/>
      <c r="V124" s="8"/>
      <c r="W124" s="8"/>
      <c r="X124" s="8"/>
      <c r="Y124" s="8"/>
      <c r="Z124" s="8"/>
    </row>
    <row r="125" spans="1:26" ht="12.75" customHeight="1" x14ac:dyDescent="0.25">
      <c r="A125" s="133"/>
      <c r="B125" s="8"/>
      <c r="C125" s="8"/>
      <c r="D125" s="8"/>
      <c r="E125" s="8"/>
      <c r="F125" s="8"/>
      <c r="G125" s="8"/>
      <c r="H125" s="8"/>
      <c r="I125" s="8"/>
      <c r="J125" s="8"/>
      <c r="K125" s="8"/>
      <c r="L125" s="94"/>
      <c r="M125" s="8"/>
      <c r="N125" s="8"/>
      <c r="O125" s="8"/>
      <c r="P125" s="8"/>
      <c r="Q125" s="8"/>
      <c r="R125" s="8"/>
      <c r="S125" s="8"/>
      <c r="T125" s="8"/>
      <c r="U125" s="8"/>
      <c r="V125" s="8"/>
      <c r="W125" s="8"/>
      <c r="X125" s="8"/>
      <c r="Y125" s="8"/>
      <c r="Z125" s="8"/>
    </row>
    <row r="126" spans="1:26" ht="12.75" customHeight="1" x14ac:dyDescent="0.25">
      <c r="A126" s="133"/>
      <c r="B126" s="8"/>
      <c r="C126" s="8"/>
      <c r="D126" s="8"/>
      <c r="E126" s="8"/>
      <c r="F126" s="8"/>
      <c r="G126" s="8"/>
      <c r="H126" s="8"/>
      <c r="I126" s="8"/>
      <c r="J126" s="8"/>
      <c r="K126" s="8"/>
      <c r="L126" s="94"/>
      <c r="M126" s="8"/>
      <c r="N126" s="8"/>
      <c r="O126" s="8"/>
      <c r="P126" s="8"/>
      <c r="Q126" s="8"/>
      <c r="R126" s="8"/>
      <c r="S126" s="8"/>
      <c r="T126" s="8"/>
      <c r="U126" s="8"/>
      <c r="V126" s="8"/>
      <c r="W126" s="8"/>
      <c r="X126" s="8"/>
      <c r="Y126" s="8"/>
      <c r="Z126" s="8"/>
    </row>
    <row r="127" spans="1:26" ht="12.75" customHeight="1" x14ac:dyDescent="0.25">
      <c r="A127" s="133"/>
      <c r="B127" s="8"/>
      <c r="C127" s="8"/>
      <c r="D127" s="8"/>
      <c r="E127" s="8"/>
      <c r="F127" s="8"/>
      <c r="G127" s="8"/>
      <c r="H127" s="8"/>
      <c r="I127" s="8"/>
      <c r="J127" s="8"/>
      <c r="K127" s="8"/>
      <c r="L127" s="94"/>
      <c r="M127" s="8"/>
      <c r="N127" s="8"/>
      <c r="O127" s="8"/>
      <c r="P127" s="8"/>
      <c r="Q127" s="8"/>
      <c r="R127" s="8"/>
      <c r="S127" s="8"/>
      <c r="T127" s="8"/>
      <c r="U127" s="8"/>
      <c r="V127" s="8"/>
      <c r="W127" s="8"/>
      <c r="X127" s="8"/>
      <c r="Y127" s="8"/>
      <c r="Z127" s="8"/>
    </row>
    <row r="128" spans="1:26" ht="12.75" customHeight="1" x14ac:dyDescent="0.25">
      <c r="A128" s="133"/>
      <c r="B128" s="8"/>
      <c r="C128" s="8"/>
      <c r="D128" s="8"/>
      <c r="E128" s="8"/>
      <c r="F128" s="8"/>
      <c r="G128" s="8"/>
      <c r="H128" s="8"/>
      <c r="I128" s="8"/>
      <c r="J128" s="8"/>
      <c r="K128" s="8"/>
      <c r="L128" s="94"/>
      <c r="M128" s="8"/>
      <c r="N128" s="8"/>
      <c r="O128" s="8"/>
      <c r="P128" s="8"/>
      <c r="Q128" s="8"/>
      <c r="R128" s="8"/>
      <c r="S128" s="8"/>
      <c r="T128" s="8"/>
      <c r="U128" s="8"/>
      <c r="V128" s="8"/>
      <c r="W128" s="8"/>
      <c r="X128" s="8"/>
      <c r="Y128" s="8"/>
      <c r="Z128" s="8"/>
    </row>
    <row r="129" spans="1:26" ht="12.75" customHeight="1" x14ac:dyDescent="0.25">
      <c r="A129" s="133"/>
      <c r="B129" s="8"/>
      <c r="C129" s="8"/>
      <c r="D129" s="8"/>
      <c r="E129" s="8"/>
      <c r="F129" s="8"/>
      <c r="G129" s="8"/>
      <c r="H129" s="8"/>
      <c r="I129" s="8"/>
      <c r="J129" s="8"/>
      <c r="K129" s="8"/>
      <c r="L129" s="94"/>
      <c r="M129" s="8"/>
      <c r="N129" s="8"/>
      <c r="O129" s="8"/>
      <c r="P129" s="8"/>
      <c r="Q129" s="8"/>
      <c r="R129" s="8"/>
      <c r="S129" s="8"/>
      <c r="T129" s="8"/>
      <c r="U129" s="8"/>
      <c r="V129" s="8"/>
      <c r="W129" s="8"/>
      <c r="X129" s="8"/>
      <c r="Y129" s="8"/>
      <c r="Z129" s="8"/>
    </row>
    <row r="130" spans="1:26" ht="12.75" customHeight="1" x14ac:dyDescent="0.25">
      <c r="A130" s="133"/>
      <c r="B130" s="8"/>
      <c r="C130" s="8"/>
      <c r="D130" s="8"/>
      <c r="E130" s="8"/>
      <c r="F130" s="8"/>
      <c r="G130" s="8"/>
      <c r="H130" s="8"/>
      <c r="I130" s="8"/>
      <c r="J130" s="8"/>
      <c r="K130" s="8"/>
      <c r="L130" s="94"/>
      <c r="M130" s="8"/>
      <c r="N130" s="8"/>
      <c r="O130" s="8"/>
      <c r="P130" s="8"/>
      <c r="Q130" s="8"/>
      <c r="R130" s="8"/>
      <c r="S130" s="8"/>
      <c r="T130" s="8"/>
      <c r="U130" s="8"/>
      <c r="V130" s="8"/>
      <c r="W130" s="8"/>
      <c r="X130" s="8"/>
      <c r="Y130" s="8"/>
      <c r="Z130" s="8"/>
    </row>
    <row r="131" spans="1:26" ht="12.75" customHeight="1" x14ac:dyDescent="0.25">
      <c r="A131" s="133"/>
      <c r="B131" s="8"/>
      <c r="C131" s="8"/>
      <c r="D131" s="8"/>
      <c r="E131" s="8"/>
      <c r="F131" s="8"/>
      <c r="G131" s="8"/>
      <c r="H131" s="8"/>
      <c r="I131" s="8"/>
      <c r="J131" s="8"/>
      <c r="K131" s="8"/>
      <c r="L131" s="94"/>
      <c r="M131" s="8"/>
      <c r="N131" s="8"/>
      <c r="O131" s="8"/>
      <c r="P131" s="8"/>
      <c r="Q131" s="8"/>
      <c r="R131" s="8"/>
      <c r="S131" s="8"/>
      <c r="T131" s="8"/>
      <c r="U131" s="8"/>
      <c r="V131" s="8"/>
      <c r="W131" s="8"/>
      <c r="X131" s="8"/>
      <c r="Y131" s="8"/>
      <c r="Z131" s="8"/>
    </row>
    <row r="132" spans="1:26" ht="12.75" customHeight="1" x14ac:dyDescent="0.25">
      <c r="A132" s="133"/>
      <c r="B132" s="8"/>
      <c r="C132" s="8"/>
      <c r="D132" s="8"/>
      <c r="E132" s="8"/>
      <c r="F132" s="8"/>
      <c r="G132" s="8"/>
      <c r="H132" s="8"/>
      <c r="I132" s="8"/>
      <c r="J132" s="8"/>
      <c r="K132" s="8"/>
      <c r="L132" s="94"/>
      <c r="M132" s="8"/>
      <c r="N132" s="8"/>
      <c r="O132" s="8"/>
      <c r="P132" s="8"/>
      <c r="Q132" s="8"/>
      <c r="R132" s="8"/>
      <c r="S132" s="8"/>
      <c r="T132" s="8"/>
      <c r="U132" s="8"/>
      <c r="V132" s="8"/>
      <c r="W132" s="8"/>
      <c r="X132" s="8"/>
      <c r="Y132" s="8"/>
      <c r="Z132" s="8"/>
    </row>
    <row r="133" spans="1:26" ht="12.75" customHeight="1" x14ac:dyDescent="0.25">
      <c r="A133" s="133"/>
      <c r="B133" s="8"/>
      <c r="C133" s="8"/>
      <c r="D133" s="8"/>
      <c r="E133" s="8"/>
      <c r="F133" s="8"/>
      <c r="G133" s="8"/>
      <c r="H133" s="8"/>
      <c r="I133" s="8"/>
      <c r="J133" s="8"/>
      <c r="K133" s="8"/>
      <c r="L133" s="94"/>
      <c r="M133" s="8"/>
      <c r="N133" s="8"/>
      <c r="O133" s="8"/>
      <c r="P133" s="8"/>
      <c r="Q133" s="8"/>
      <c r="R133" s="8"/>
      <c r="S133" s="8"/>
      <c r="T133" s="8"/>
      <c r="U133" s="8"/>
      <c r="V133" s="8"/>
      <c r="W133" s="8"/>
      <c r="X133" s="8"/>
      <c r="Y133" s="8"/>
      <c r="Z133" s="8"/>
    </row>
    <row r="134" spans="1:26" ht="12.75" customHeight="1" x14ac:dyDescent="0.25">
      <c r="A134" s="133"/>
      <c r="B134" s="8"/>
      <c r="C134" s="8"/>
      <c r="D134" s="8"/>
      <c r="E134" s="8"/>
      <c r="F134" s="8"/>
      <c r="G134" s="8"/>
      <c r="H134" s="8"/>
      <c r="I134" s="8"/>
      <c r="J134" s="8"/>
      <c r="K134" s="8"/>
      <c r="L134" s="94"/>
      <c r="M134" s="8"/>
      <c r="N134" s="8"/>
      <c r="O134" s="8"/>
      <c r="P134" s="8"/>
      <c r="Q134" s="8"/>
      <c r="R134" s="8"/>
      <c r="S134" s="8"/>
      <c r="T134" s="8"/>
      <c r="U134" s="8"/>
      <c r="V134" s="8"/>
      <c r="W134" s="8"/>
      <c r="X134" s="8"/>
      <c r="Y134" s="8"/>
      <c r="Z134" s="8"/>
    </row>
    <row r="135" spans="1:26" ht="12.75" customHeight="1" x14ac:dyDescent="0.25">
      <c r="A135" s="133"/>
      <c r="B135" s="8"/>
      <c r="C135" s="8"/>
      <c r="D135" s="8"/>
      <c r="E135" s="8"/>
      <c r="F135" s="8"/>
      <c r="G135" s="8"/>
      <c r="H135" s="8"/>
      <c r="I135" s="8"/>
      <c r="J135" s="8"/>
      <c r="K135" s="8"/>
      <c r="L135" s="94"/>
      <c r="M135" s="8"/>
      <c r="N135" s="8"/>
      <c r="O135" s="8"/>
      <c r="P135" s="8"/>
      <c r="Q135" s="8"/>
      <c r="R135" s="8"/>
      <c r="S135" s="8"/>
      <c r="T135" s="8"/>
      <c r="U135" s="8"/>
      <c r="V135" s="8"/>
      <c r="W135" s="8"/>
      <c r="X135" s="8"/>
      <c r="Y135" s="8"/>
      <c r="Z135" s="8"/>
    </row>
    <row r="136" spans="1:26" ht="12.75" customHeight="1" x14ac:dyDescent="0.25">
      <c r="A136" s="133"/>
      <c r="B136" s="8"/>
      <c r="C136" s="8"/>
      <c r="D136" s="8"/>
      <c r="E136" s="8"/>
      <c r="F136" s="8"/>
      <c r="G136" s="8"/>
      <c r="H136" s="8"/>
      <c r="I136" s="8"/>
      <c r="J136" s="8"/>
      <c r="K136" s="8"/>
      <c r="L136" s="94"/>
      <c r="M136" s="8"/>
      <c r="N136" s="8"/>
      <c r="O136" s="8"/>
      <c r="P136" s="8"/>
      <c r="Q136" s="8"/>
      <c r="R136" s="8"/>
      <c r="S136" s="8"/>
      <c r="T136" s="8"/>
      <c r="U136" s="8"/>
      <c r="V136" s="8"/>
      <c r="W136" s="8"/>
      <c r="X136" s="8"/>
      <c r="Y136" s="8"/>
      <c r="Z136" s="8"/>
    </row>
    <row r="137" spans="1:26" ht="12.75" customHeight="1" x14ac:dyDescent="0.25">
      <c r="A137" s="133"/>
      <c r="B137" s="8"/>
      <c r="C137" s="8"/>
      <c r="D137" s="8"/>
      <c r="E137" s="8"/>
      <c r="F137" s="8"/>
      <c r="G137" s="8"/>
      <c r="H137" s="8"/>
      <c r="I137" s="8"/>
      <c r="J137" s="8"/>
      <c r="K137" s="8"/>
      <c r="L137" s="94"/>
      <c r="M137" s="8"/>
      <c r="N137" s="8"/>
      <c r="O137" s="8"/>
      <c r="P137" s="8"/>
      <c r="Q137" s="8"/>
      <c r="R137" s="8"/>
      <c r="S137" s="8"/>
      <c r="T137" s="8"/>
      <c r="U137" s="8"/>
      <c r="V137" s="8"/>
      <c r="W137" s="8"/>
      <c r="X137" s="8"/>
      <c r="Y137" s="8"/>
      <c r="Z137" s="8"/>
    </row>
    <row r="138" spans="1:26" ht="12.75" customHeight="1" x14ac:dyDescent="0.25">
      <c r="A138" s="133"/>
      <c r="B138" s="8"/>
      <c r="C138" s="8"/>
      <c r="D138" s="8"/>
      <c r="E138" s="8"/>
      <c r="F138" s="8"/>
      <c r="G138" s="8"/>
      <c r="H138" s="8"/>
      <c r="I138" s="8"/>
      <c r="J138" s="8"/>
      <c r="K138" s="8"/>
      <c r="L138" s="94"/>
      <c r="M138" s="8"/>
      <c r="N138" s="8"/>
      <c r="O138" s="8"/>
      <c r="P138" s="8"/>
      <c r="Q138" s="8"/>
      <c r="R138" s="8"/>
      <c r="S138" s="8"/>
      <c r="T138" s="8"/>
      <c r="U138" s="8"/>
      <c r="V138" s="8"/>
      <c r="W138" s="8"/>
      <c r="X138" s="8"/>
      <c r="Y138" s="8"/>
      <c r="Z138" s="8"/>
    </row>
    <row r="139" spans="1:26" ht="12.75" customHeight="1" x14ac:dyDescent="0.25">
      <c r="A139" s="133"/>
      <c r="B139" s="8"/>
      <c r="C139" s="8"/>
      <c r="D139" s="8"/>
      <c r="E139" s="8"/>
      <c r="F139" s="8"/>
      <c r="G139" s="8"/>
      <c r="H139" s="8"/>
      <c r="I139" s="8"/>
      <c r="J139" s="8"/>
      <c r="K139" s="8"/>
      <c r="L139" s="94"/>
      <c r="M139" s="8"/>
      <c r="N139" s="8"/>
      <c r="O139" s="8"/>
      <c r="P139" s="8"/>
      <c r="Q139" s="8"/>
      <c r="R139" s="8"/>
      <c r="S139" s="8"/>
      <c r="T139" s="8"/>
      <c r="U139" s="8"/>
      <c r="V139" s="8"/>
      <c r="W139" s="8"/>
      <c r="X139" s="8"/>
      <c r="Y139" s="8"/>
      <c r="Z139" s="8"/>
    </row>
    <row r="140" spans="1:26" ht="12.75" customHeight="1" x14ac:dyDescent="0.25">
      <c r="A140" s="133"/>
      <c r="B140" s="8"/>
      <c r="C140" s="8"/>
      <c r="D140" s="8"/>
      <c r="E140" s="8"/>
      <c r="F140" s="8"/>
      <c r="G140" s="8"/>
      <c r="H140" s="8"/>
      <c r="I140" s="8"/>
      <c r="J140" s="8"/>
      <c r="K140" s="8"/>
      <c r="L140" s="94"/>
      <c r="M140" s="8"/>
      <c r="N140" s="8"/>
      <c r="O140" s="8"/>
      <c r="P140" s="8"/>
      <c r="Q140" s="8"/>
      <c r="R140" s="8"/>
      <c r="S140" s="8"/>
      <c r="T140" s="8"/>
      <c r="U140" s="8"/>
      <c r="V140" s="8"/>
      <c r="W140" s="8"/>
      <c r="X140" s="8"/>
      <c r="Y140" s="8"/>
      <c r="Z140" s="8"/>
    </row>
    <row r="141" spans="1:26" ht="12.75" customHeight="1" x14ac:dyDescent="0.25">
      <c r="A141" s="133"/>
      <c r="B141" s="8"/>
      <c r="C141" s="8"/>
      <c r="D141" s="8"/>
      <c r="E141" s="8"/>
      <c r="F141" s="8"/>
      <c r="G141" s="8"/>
      <c r="H141" s="8"/>
      <c r="I141" s="8"/>
      <c r="J141" s="8"/>
      <c r="K141" s="8"/>
      <c r="L141" s="94"/>
      <c r="M141" s="8"/>
      <c r="N141" s="8"/>
      <c r="O141" s="8"/>
      <c r="P141" s="8"/>
      <c r="Q141" s="8"/>
      <c r="R141" s="8"/>
      <c r="S141" s="8"/>
      <c r="T141" s="8"/>
      <c r="U141" s="8"/>
      <c r="V141" s="8"/>
      <c r="W141" s="8"/>
      <c r="X141" s="8"/>
      <c r="Y141" s="8"/>
      <c r="Z141" s="8"/>
    </row>
    <row r="142" spans="1:26" ht="12.75" customHeight="1" x14ac:dyDescent="0.25">
      <c r="A142" s="133"/>
      <c r="B142" s="8"/>
      <c r="C142" s="8"/>
      <c r="D142" s="8"/>
      <c r="E142" s="8"/>
      <c r="F142" s="8"/>
      <c r="G142" s="8"/>
      <c r="H142" s="8"/>
      <c r="I142" s="8"/>
      <c r="J142" s="8"/>
      <c r="K142" s="8"/>
      <c r="L142" s="94"/>
      <c r="M142" s="8"/>
      <c r="N142" s="8"/>
      <c r="O142" s="8"/>
      <c r="P142" s="8"/>
      <c r="Q142" s="8"/>
      <c r="R142" s="8"/>
      <c r="S142" s="8"/>
      <c r="T142" s="8"/>
      <c r="U142" s="8"/>
      <c r="V142" s="8"/>
      <c r="W142" s="8"/>
      <c r="X142" s="8"/>
      <c r="Y142" s="8"/>
      <c r="Z142" s="8"/>
    </row>
    <row r="143" spans="1:26" ht="12.75" customHeight="1" x14ac:dyDescent="0.25">
      <c r="A143" s="133"/>
      <c r="B143" s="8"/>
      <c r="C143" s="8"/>
      <c r="D143" s="8"/>
      <c r="E143" s="8"/>
      <c r="F143" s="8"/>
      <c r="G143" s="8"/>
      <c r="H143" s="8"/>
      <c r="I143" s="8"/>
      <c r="J143" s="8"/>
      <c r="K143" s="8"/>
      <c r="L143" s="94"/>
      <c r="M143" s="8"/>
      <c r="N143" s="8"/>
      <c r="O143" s="8"/>
      <c r="P143" s="8"/>
      <c r="Q143" s="8"/>
      <c r="R143" s="8"/>
      <c r="S143" s="8"/>
      <c r="T143" s="8"/>
      <c r="U143" s="8"/>
      <c r="V143" s="8"/>
      <c r="W143" s="8"/>
      <c r="X143" s="8"/>
      <c r="Y143" s="8"/>
      <c r="Z143" s="8"/>
    </row>
    <row r="144" spans="1:26" ht="12.75" customHeight="1" x14ac:dyDescent="0.25">
      <c r="A144" s="133"/>
      <c r="B144" s="8"/>
      <c r="C144" s="8"/>
      <c r="D144" s="8"/>
      <c r="E144" s="8"/>
      <c r="F144" s="8"/>
      <c r="G144" s="8"/>
      <c r="H144" s="8"/>
      <c r="I144" s="8"/>
      <c r="J144" s="8"/>
      <c r="K144" s="8"/>
      <c r="L144" s="94"/>
      <c r="M144" s="8"/>
      <c r="N144" s="8"/>
      <c r="O144" s="8"/>
      <c r="P144" s="8"/>
      <c r="Q144" s="8"/>
      <c r="R144" s="8"/>
      <c r="S144" s="8"/>
      <c r="T144" s="8"/>
      <c r="U144" s="8"/>
      <c r="V144" s="8"/>
      <c r="W144" s="8"/>
      <c r="X144" s="8"/>
      <c r="Y144" s="8"/>
      <c r="Z144" s="8"/>
    </row>
    <row r="145" spans="1:26" ht="12.75" customHeight="1" x14ac:dyDescent="0.25">
      <c r="A145" s="133"/>
      <c r="B145" s="8"/>
      <c r="C145" s="8"/>
      <c r="D145" s="8"/>
      <c r="E145" s="8"/>
      <c r="F145" s="8"/>
      <c r="G145" s="8"/>
      <c r="H145" s="8"/>
      <c r="I145" s="8"/>
      <c r="J145" s="8"/>
      <c r="K145" s="8"/>
      <c r="L145" s="94"/>
      <c r="M145" s="8"/>
      <c r="N145" s="8"/>
      <c r="O145" s="8"/>
      <c r="P145" s="8"/>
      <c r="Q145" s="8"/>
      <c r="R145" s="8"/>
      <c r="S145" s="8"/>
      <c r="T145" s="8"/>
      <c r="U145" s="8"/>
      <c r="V145" s="8"/>
      <c r="W145" s="8"/>
      <c r="X145" s="8"/>
      <c r="Y145" s="8"/>
      <c r="Z145" s="8"/>
    </row>
    <row r="146" spans="1:26" ht="12.75" customHeight="1" x14ac:dyDescent="0.25">
      <c r="A146" s="133"/>
      <c r="B146" s="8"/>
      <c r="C146" s="8"/>
      <c r="D146" s="8"/>
      <c r="E146" s="8"/>
      <c r="F146" s="8"/>
      <c r="G146" s="8"/>
      <c r="H146" s="8"/>
      <c r="I146" s="8"/>
      <c r="J146" s="8"/>
      <c r="K146" s="8"/>
      <c r="L146" s="94"/>
      <c r="M146" s="8"/>
      <c r="N146" s="8"/>
      <c r="O146" s="8"/>
      <c r="P146" s="8"/>
      <c r="Q146" s="8"/>
      <c r="R146" s="8"/>
      <c r="S146" s="8"/>
      <c r="T146" s="8"/>
      <c r="U146" s="8"/>
      <c r="V146" s="8"/>
      <c r="W146" s="8"/>
      <c r="X146" s="8"/>
      <c r="Y146" s="8"/>
      <c r="Z146" s="8"/>
    </row>
    <row r="147" spans="1:26" ht="12.75" customHeight="1" x14ac:dyDescent="0.25">
      <c r="A147" s="133"/>
      <c r="B147" s="8"/>
      <c r="C147" s="8"/>
      <c r="D147" s="8"/>
      <c r="E147" s="8"/>
      <c r="F147" s="8"/>
      <c r="G147" s="8"/>
      <c r="H147" s="8"/>
      <c r="I147" s="8"/>
      <c r="J147" s="8"/>
      <c r="K147" s="8"/>
      <c r="L147" s="94"/>
      <c r="M147" s="8"/>
      <c r="N147" s="8"/>
      <c r="O147" s="8"/>
      <c r="P147" s="8"/>
      <c r="Q147" s="8"/>
      <c r="R147" s="8"/>
      <c r="S147" s="8"/>
      <c r="T147" s="8"/>
      <c r="U147" s="8"/>
      <c r="V147" s="8"/>
      <c r="W147" s="8"/>
      <c r="X147" s="8"/>
      <c r="Y147" s="8"/>
      <c r="Z147" s="8"/>
    </row>
    <row r="148" spans="1:26" ht="12.75" customHeight="1" x14ac:dyDescent="0.25">
      <c r="A148" s="133"/>
      <c r="B148" s="8"/>
      <c r="C148" s="8"/>
      <c r="D148" s="8"/>
      <c r="E148" s="8"/>
      <c r="F148" s="8"/>
      <c r="G148" s="8"/>
      <c r="H148" s="8"/>
      <c r="I148" s="8"/>
      <c r="J148" s="8"/>
      <c r="K148" s="8"/>
      <c r="L148" s="94"/>
      <c r="M148" s="8"/>
      <c r="N148" s="8"/>
      <c r="O148" s="8"/>
      <c r="P148" s="8"/>
      <c r="Q148" s="8"/>
      <c r="R148" s="8"/>
      <c r="S148" s="8"/>
      <c r="T148" s="8"/>
      <c r="U148" s="8"/>
      <c r="V148" s="8"/>
      <c r="W148" s="8"/>
      <c r="X148" s="8"/>
      <c r="Y148" s="8"/>
      <c r="Z148" s="8"/>
    </row>
    <row r="149" spans="1:26" ht="12.75" customHeight="1" x14ac:dyDescent="0.25">
      <c r="A149" s="133"/>
      <c r="B149" s="8"/>
      <c r="C149" s="8"/>
      <c r="D149" s="8"/>
      <c r="E149" s="8"/>
      <c r="F149" s="8"/>
      <c r="G149" s="8"/>
      <c r="H149" s="8"/>
      <c r="I149" s="8"/>
      <c r="J149" s="8"/>
      <c r="K149" s="8"/>
      <c r="L149" s="94"/>
      <c r="M149" s="8"/>
      <c r="N149" s="8"/>
      <c r="O149" s="8"/>
      <c r="P149" s="8"/>
      <c r="Q149" s="8"/>
      <c r="R149" s="8"/>
      <c r="S149" s="8"/>
      <c r="T149" s="8"/>
      <c r="U149" s="8"/>
      <c r="V149" s="8"/>
      <c r="W149" s="8"/>
      <c r="X149" s="8"/>
      <c r="Y149" s="8"/>
      <c r="Z149" s="8"/>
    </row>
    <row r="150" spans="1:26" ht="12.75" customHeight="1" x14ac:dyDescent="0.25">
      <c r="A150" s="133"/>
      <c r="B150" s="8"/>
      <c r="C150" s="8"/>
      <c r="D150" s="8"/>
      <c r="E150" s="8"/>
      <c r="F150" s="8"/>
      <c r="G150" s="8"/>
      <c r="H150" s="8"/>
      <c r="I150" s="8"/>
      <c r="J150" s="8"/>
      <c r="K150" s="8"/>
      <c r="L150" s="94"/>
      <c r="M150" s="8"/>
      <c r="N150" s="8"/>
      <c r="O150" s="8"/>
      <c r="P150" s="8"/>
      <c r="Q150" s="8"/>
      <c r="R150" s="8"/>
      <c r="S150" s="8"/>
      <c r="T150" s="8"/>
      <c r="U150" s="8"/>
      <c r="V150" s="8"/>
      <c r="W150" s="8"/>
      <c r="X150" s="8"/>
      <c r="Y150" s="8"/>
      <c r="Z150" s="8"/>
    </row>
    <row r="151" spans="1:26" ht="12.75" customHeight="1" x14ac:dyDescent="0.25">
      <c r="A151" s="133"/>
      <c r="B151" s="8"/>
      <c r="C151" s="8"/>
      <c r="D151" s="8"/>
      <c r="E151" s="8"/>
      <c r="F151" s="8"/>
      <c r="G151" s="8"/>
      <c r="H151" s="8"/>
      <c r="I151" s="8"/>
      <c r="J151" s="8"/>
      <c r="K151" s="8"/>
      <c r="L151" s="94"/>
      <c r="M151" s="8"/>
      <c r="N151" s="8"/>
      <c r="O151" s="8"/>
      <c r="P151" s="8"/>
      <c r="Q151" s="8"/>
      <c r="R151" s="8"/>
      <c r="S151" s="8"/>
      <c r="T151" s="8"/>
      <c r="U151" s="8"/>
      <c r="V151" s="8"/>
      <c r="W151" s="8"/>
      <c r="X151" s="8"/>
      <c r="Y151" s="8"/>
      <c r="Z151" s="8"/>
    </row>
    <row r="152" spans="1:26" ht="12.75" customHeight="1" x14ac:dyDescent="0.25">
      <c r="A152" s="133"/>
      <c r="B152" s="8"/>
      <c r="C152" s="8"/>
      <c r="D152" s="8"/>
      <c r="E152" s="8"/>
      <c r="F152" s="8"/>
      <c r="G152" s="8"/>
      <c r="H152" s="8"/>
      <c r="I152" s="8"/>
      <c r="J152" s="8"/>
      <c r="K152" s="8"/>
      <c r="L152" s="94"/>
      <c r="M152" s="8"/>
      <c r="N152" s="8"/>
      <c r="O152" s="8"/>
      <c r="P152" s="8"/>
      <c r="Q152" s="8"/>
      <c r="R152" s="8"/>
      <c r="S152" s="8"/>
      <c r="T152" s="8"/>
      <c r="U152" s="8"/>
      <c r="V152" s="8"/>
      <c r="W152" s="8"/>
      <c r="X152" s="8"/>
      <c r="Y152" s="8"/>
      <c r="Z152" s="8"/>
    </row>
    <row r="153" spans="1:26" ht="12.75" customHeight="1" x14ac:dyDescent="0.25">
      <c r="A153" s="133"/>
      <c r="B153" s="8"/>
      <c r="C153" s="8"/>
      <c r="D153" s="8"/>
      <c r="E153" s="8"/>
      <c r="F153" s="8"/>
      <c r="G153" s="8"/>
      <c r="H153" s="8"/>
      <c r="I153" s="8"/>
      <c r="J153" s="8"/>
      <c r="K153" s="8"/>
      <c r="L153" s="94"/>
      <c r="M153" s="8"/>
      <c r="N153" s="8"/>
      <c r="O153" s="8"/>
      <c r="P153" s="8"/>
      <c r="Q153" s="8"/>
      <c r="R153" s="8"/>
      <c r="S153" s="8"/>
      <c r="T153" s="8"/>
      <c r="U153" s="8"/>
      <c r="V153" s="8"/>
      <c r="W153" s="8"/>
      <c r="X153" s="8"/>
      <c r="Y153" s="8"/>
      <c r="Z153" s="8"/>
    </row>
    <row r="154" spans="1:26" ht="12.75" customHeight="1" x14ac:dyDescent="0.25">
      <c r="A154" s="133"/>
      <c r="B154" s="8"/>
      <c r="C154" s="8"/>
      <c r="D154" s="8"/>
      <c r="E154" s="8"/>
      <c r="F154" s="8"/>
      <c r="G154" s="8"/>
      <c r="H154" s="8"/>
      <c r="I154" s="8"/>
      <c r="J154" s="8"/>
      <c r="K154" s="8"/>
      <c r="L154" s="94"/>
      <c r="M154" s="8"/>
      <c r="N154" s="8"/>
      <c r="O154" s="8"/>
      <c r="P154" s="8"/>
      <c r="Q154" s="8"/>
      <c r="R154" s="8"/>
      <c r="S154" s="8"/>
      <c r="T154" s="8"/>
      <c r="U154" s="8"/>
      <c r="V154" s="8"/>
      <c r="W154" s="8"/>
      <c r="X154" s="8"/>
      <c r="Y154" s="8"/>
      <c r="Z154" s="8"/>
    </row>
    <row r="155" spans="1:26" ht="12.75" customHeight="1" x14ac:dyDescent="0.25">
      <c r="A155" s="133"/>
      <c r="B155" s="8"/>
      <c r="C155" s="8"/>
      <c r="D155" s="8"/>
      <c r="E155" s="8"/>
      <c r="F155" s="8"/>
      <c r="G155" s="8"/>
      <c r="H155" s="8"/>
      <c r="I155" s="8"/>
      <c r="J155" s="8"/>
      <c r="K155" s="8"/>
      <c r="L155" s="94"/>
      <c r="M155" s="8"/>
      <c r="N155" s="8"/>
      <c r="O155" s="8"/>
      <c r="P155" s="8"/>
      <c r="Q155" s="8"/>
      <c r="R155" s="8"/>
      <c r="S155" s="8"/>
      <c r="T155" s="8"/>
      <c r="U155" s="8"/>
      <c r="V155" s="8"/>
      <c r="W155" s="8"/>
      <c r="X155" s="8"/>
      <c r="Y155" s="8"/>
      <c r="Z155" s="8"/>
    </row>
    <row r="156" spans="1:26" ht="12.75" customHeight="1" x14ac:dyDescent="0.25">
      <c r="A156" s="133"/>
      <c r="B156" s="8"/>
      <c r="C156" s="8"/>
      <c r="D156" s="8"/>
      <c r="E156" s="8"/>
      <c r="F156" s="8"/>
      <c r="G156" s="8"/>
      <c r="H156" s="8"/>
      <c r="I156" s="8"/>
      <c r="J156" s="8"/>
      <c r="K156" s="8"/>
      <c r="L156" s="94"/>
      <c r="M156" s="8"/>
      <c r="N156" s="8"/>
      <c r="O156" s="8"/>
      <c r="P156" s="8"/>
      <c r="Q156" s="8"/>
      <c r="R156" s="8"/>
      <c r="S156" s="8"/>
      <c r="T156" s="8"/>
      <c r="U156" s="8"/>
      <c r="V156" s="8"/>
      <c r="W156" s="8"/>
      <c r="X156" s="8"/>
      <c r="Y156" s="8"/>
      <c r="Z156" s="8"/>
    </row>
    <row r="157" spans="1:26" ht="12.75" customHeight="1" x14ac:dyDescent="0.25">
      <c r="A157" s="133"/>
      <c r="B157" s="8"/>
      <c r="C157" s="8"/>
      <c r="D157" s="8"/>
      <c r="E157" s="8"/>
      <c r="F157" s="8"/>
      <c r="G157" s="8"/>
      <c r="H157" s="8"/>
      <c r="I157" s="8"/>
      <c r="J157" s="8"/>
      <c r="K157" s="8"/>
      <c r="L157" s="94"/>
      <c r="M157" s="8"/>
      <c r="N157" s="8"/>
      <c r="O157" s="8"/>
      <c r="P157" s="8"/>
      <c r="Q157" s="8"/>
      <c r="R157" s="8"/>
      <c r="S157" s="8"/>
      <c r="T157" s="8"/>
      <c r="U157" s="8"/>
      <c r="V157" s="8"/>
      <c r="W157" s="8"/>
      <c r="X157" s="8"/>
      <c r="Y157" s="8"/>
      <c r="Z157" s="8"/>
    </row>
    <row r="158" spans="1:26" ht="12.75" customHeight="1" x14ac:dyDescent="0.25">
      <c r="A158" s="133"/>
      <c r="B158" s="8"/>
      <c r="C158" s="8"/>
      <c r="D158" s="8"/>
      <c r="E158" s="8"/>
      <c r="F158" s="8"/>
      <c r="G158" s="8"/>
      <c r="H158" s="8"/>
      <c r="I158" s="8"/>
      <c r="J158" s="8"/>
      <c r="K158" s="8"/>
      <c r="L158" s="94"/>
      <c r="M158" s="8"/>
      <c r="N158" s="8"/>
      <c r="O158" s="8"/>
      <c r="P158" s="8"/>
      <c r="Q158" s="8"/>
      <c r="R158" s="8"/>
      <c r="S158" s="8"/>
      <c r="T158" s="8"/>
      <c r="U158" s="8"/>
      <c r="V158" s="8"/>
      <c r="W158" s="8"/>
      <c r="X158" s="8"/>
      <c r="Y158" s="8"/>
      <c r="Z158" s="8"/>
    </row>
    <row r="159" spans="1:26" ht="12.75" customHeight="1" x14ac:dyDescent="0.25">
      <c r="A159" s="133"/>
      <c r="B159" s="8"/>
      <c r="C159" s="8"/>
      <c r="D159" s="8"/>
      <c r="E159" s="8"/>
      <c r="F159" s="8"/>
      <c r="G159" s="8"/>
      <c r="H159" s="8"/>
      <c r="I159" s="8"/>
      <c r="J159" s="8"/>
      <c r="K159" s="8"/>
      <c r="L159" s="94"/>
      <c r="M159" s="8"/>
      <c r="N159" s="8"/>
      <c r="O159" s="8"/>
      <c r="P159" s="8"/>
      <c r="Q159" s="8"/>
      <c r="R159" s="8"/>
      <c r="S159" s="8"/>
      <c r="T159" s="8"/>
      <c r="U159" s="8"/>
      <c r="V159" s="8"/>
      <c r="W159" s="8"/>
      <c r="X159" s="8"/>
      <c r="Y159" s="8"/>
      <c r="Z159" s="8"/>
    </row>
    <row r="160" spans="1:26" ht="12.75" customHeight="1" x14ac:dyDescent="0.25">
      <c r="A160" s="133"/>
      <c r="B160" s="8"/>
      <c r="C160" s="8"/>
      <c r="D160" s="8"/>
      <c r="E160" s="8"/>
      <c r="F160" s="8"/>
      <c r="G160" s="8"/>
      <c r="H160" s="8"/>
      <c r="I160" s="8"/>
      <c r="J160" s="8"/>
      <c r="K160" s="8"/>
      <c r="L160" s="94"/>
      <c r="M160" s="8"/>
      <c r="N160" s="8"/>
      <c r="O160" s="8"/>
      <c r="P160" s="8"/>
      <c r="Q160" s="8"/>
      <c r="R160" s="8"/>
      <c r="S160" s="8"/>
      <c r="T160" s="8"/>
      <c r="U160" s="8"/>
      <c r="V160" s="8"/>
      <c r="W160" s="8"/>
      <c r="X160" s="8"/>
      <c r="Y160" s="8"/>
      <c r="Z160" s="8"/>
    </row>
    <row r="161" spans="1:26" ht="12.75" customHeight="1" x14ac:dyDescent="0.25">
      <c r="A161" s="133"/>
      <c r="B161" s="8"/>
      <c r="C161" s="8"/>
      <c r="D161" s="8"/>
      <c r="E161" s="8"/>
      <c r="F161" s="8"/>
      <c r="G161" s="8"/>
      <c r="H161" s="8"/>
      <c r="I161" s="8"/>
      <c r="J161" s="8"/>
      <c r="K161" s="8"/>
      <c r="L161" s="94"/>
      <c r="M161" s="8"/>
      <c r="N161" s="8"/>
      <c r="O161" s="8"/>
      <c r="P161" s="8"/>
      <c r="Q161" s="8"/>
      <c r="R161" s="8"/>
      <c r="S161" s="8"/>
      <c r="T161" s="8"/>
      <c r="U161" s="8"/>
      <c r="V161" s="8"/>
      <c r="W161" s="8"/>
      <c r="X161" s="8"/>
      <c r="Y161" s="8"/>
      <c r="Z161" s="8"/>
    </row>
    <row r="162" spans="1:26" ht="12.75" customHeight="1" x14ac:dyDescent="0.25">
      <c r="A162" s="133"/>
      <c r="B162" s="8"/>
      <c r="C162" s="8"/>
      <c r="D162" s="8"/>
      <c r="E162" s="8"/>
      <c r="F162" s="8"/>
      <c r="G162" s="8"/>
      <c r="H162" s="8"/>
      <c r="I162" s="8"/>
      <c r="J162" s="8"/>
      <c r="K162" s="8"/>
      <c r="L162" s="94"/>
      <c r="M162" s="8"/>
      <c r="N162" s="8"/>
      <c r="O162" s="8"/>
      <c r="P162" s="8"/>
      <c r="Q162" s="8"/>
      <c r="R162" s="8"/>
      <c r="S162" s="8"/>
      <c r="T162" s="8"/>
      <c r="U162" s="8"/>
      <c r="V162" s="8"/>
      <c r="W162" s="8"/>
      <c r="X162" s="8"/>
      <c r="Y162" s="8"/>
      <c r="Z162" s="8"/>
    </row>
    <row r="163" spans="1:26" ht="12.75" customHeight="1" x14ac:dyDescent="0.25">
      <c r="A163" s="133"/>
      <c r="B163" s="8"/>
      <c r="C163" s="8"/>
      <c r="D163" s="8"/>
      <c r="E163" s="8"/>
      <c r="F163" s="8"/>
      <c r="G163" s="8"/>
      <c r="H163" s="8"/>
      <c r="I163" s="8"/>
      <c r="J163" s="8"/>
      <c r="K163" s="8"/>
      <c r="L163" s="94"/>
      <c r="M163" s="8"/>
      <c r="N163" s="8"/>
      <c r="O163" s="8"/>
      <c r="P163" s="8"/>
      <c r="Q163" s="8"/>
      <c r="R163" s="8"/>
      <c r="S163" s="8"/>
      <c r="T163" s="8"/>
      <c r="U163" s="8"/>
      <c r="V163" s="8"/>
      <c r="W163" s="8"/>
      <c r="X163" s="8"/>
      <c r="Y163" s="8"/>
      <c r="Z163" s="8"/>
    </row>
    <row r="164" spans="1:26" ht="12.75" customHeight="1" x14ac:dyDescent="0.25">
      <c r="A164" s="133"/>
      <c r="B164" s="8"/>
      <c r="C164" s="8"/>
      <c r="D164" s="8"/>
      <c r="E164" s="8"/>
      <c r="F164" s="8"/>
      <c r="G164" s="8"/>
      <c r="H164" s="8"/>
      <c r="I164" s="8"/>
      <c r="J164" s="8"/>
      <c r="K164" s="8"/>
      <c r="L164" s="94"/>
      <c r="M164" s="8"/>
      <c r="N164" s="8"/>
      <c r="O164" s="8"/>
      <c r="P164" s="8"/>
      <c r="Q164" s="8"/>
      <c r="R164" s="8"/>
      <c r="S164" s="8"/>
      <c r="T164" s="8"/>
      <c r="U164" s="8"/>
      <c r="V164" s="8"/>
      <c r="W164" s="8"/>
      <c r="X164" s="8"/>
      <c r="Y164" s="8"/>
      <c r="Z164" s="8"/>
    </row>
    <row r="165" spans="1:26" ht="12.75" customHeight="1" x14ac:dyDescent="0.25">
      <c r="A165" s="133"/>
      <c r="B165" s="8"/>
      <c r="C165" s="8"/>
      <c r="D165" s="8"/>
      <c r="E165" s="8"/>
      <c r="F165" s="8"/>
      <c r="G165" s="8"/>
      <c r="H165" s="8"/>
      <c r="I165" s="8"/>
      <c r="J165" s="8"/>
      <c r="K165" s="8"/>
      <c r="L165" s="94"/>
      <c r="M165" s="8"/>
      <c r="N165" s="8"/>
      <c r="O165" s="8"/>
      <c r="P165" s="8"/>
      <c r="Q165" s="8"/>
      <c r="R165" s="8"/>
      <c r="S165" s="8"/>
      <c r="T165" s="8"/>
      <c r="U165" s="8"/>
      <c r="V165" s="8"/>
      <c r="W165" s="8"/>
      <c r="X165" s="8"/>
      <c r="Y165" s="8"/>
      <c r="Z165" s="8"/>
    </row>
    <row r="166" spans="1:26" ht="12.75" customHeight="1" x14ac:dyDescent="0.25">
      <c r="A166" s="133"/>
      <c r="B166" s="8"/>
      <c r="C166" s="8"/>
      <c r="D166" s="8"/>
      <c r="E166" s="8"/>
      <c r="F166" s="8"/>
      <c r="G166" s="8"/>
      <c r="H166" s="8"/>
      <c r="I166" s="8"/>
      <c r="J166" s="8"/>
      <c r="K166" s="8"/>
      <c r="L166" s="94"/>
      <c r="M166" s="8"/>
      <c r="N166" s="8"/>
      <c r="O166" s="8"/>
      <c r="P166" s="8"/>
      <c r="Q166" s="8"/>
      <c r="R166" s="8"/>
      <c r="S166" s="8"/>
      <c r="T166" s="8"/>
      <c r="U166" s="8"/>
      <c r="V166" s="8"/>
      <c r="W166" s="8"/>
      <c r="X166" s="8"/>
      <c r="Y166" s="8"/>
      <c r="Z166" s="8"/>
    </row>
    <row r="167" spans="1:26" ht="12.75" customHeight="1" x14ac:dyDescent="0.25">
      <c r="A167" s="133"/>
      <c r="B167" s="8"/>
      <c r="C167" s="8"/>
      <c r="D167" s="8"/>
      <c r="E167" s="8"/>
      <c r="F167" s="8"/>
      <c r="G167" s="8"/>
      <c r="H167" s="8"/>
      <c r="I167" s="8"/>
      <c r="J167" s="8"/>
      <c r="K167" s="8"/>
      <c r="L167" s="94"/>
      <c r="M167" s="8"/>
      <c r="N167" s="8"/>
      <c r="O167" s="8"/>
      <c r="P167" s="8"/>
      <c r="Q167" s="8"/>
      <c r="R167" s="8"/>
      <c r="S167" s="8"/>
      <c r="T167" s="8"/>
      <c r="U167" s="8"/>
      <c r="V167" s="8"/>
      <c r="W167" s="8"/>
      <c r="X167" s="8"/>
      <c r="Y167" s="8"/>
      <c r="Z167" s="8"/>
    </row>
    <row r="168" spans="1:26" ht="12.75" customHeight="1" x14ac:dyDescent="0.25">
      <c r="A168" s="133"/>
      <c r="B168" s="8"/>
      <c r="C168" s="8"/>
      <c r="D168" s="8"/>
      <c r="E168" s="8"/>
      <c r="F168" s="8"/>
      <c r="G168" s="8"/>
      <c r="H168" s="8"/>
      <c r="I168" s="8"/>
      <c r="J168" s="8"/>
      <c r="K168" s="8"/>
      <c r="L168" s="94"/>
      <c r="M168" s="8"/>
      <c r="N168" s="8"/>
      <c r="O168" s="8"/>
      <c r="P168" s="8"/>
      <c r="Q168" s="8"/>
      <c r="R168" s="8"/>
      <c r="S168" s="8"/>
      <c r="T168" s="8"/>
      <c r="U168" s="8"/>
      <c r="V168" s="8"/>
      <c r="W168" s="8"/>
      <c r="X168" s="8"/>
      <c r="Y168" s="8"/>
      <c r="Z168" s="8"/>
    </row>
    <row r="169" spans="1:26" ht="12.75" customHeight="1" x14ac:dyDescent="0.25">
      <c r="A169" s="133"/>
      <c r="B169" s="8"/>
      <c r="C169" s="8"/>
      <c r="D169" s="8"/>
      <c r="E169" s="8"/>
      <c r="F169" s="8"/>
      <c r="G169" s="8"/>
      <c r="H169" s="8"/>
      <c r="I169" s="8"/>
      <c r="J169" s="8"/>
      <c r="K169" s="8"/>
      <c r="L169" s="94"/>
      <c r="M169" s="8"/>
      <c r="N169" s="8"/>
      <c r="O169" s="8"/>
      <c r="P169" s="8"/>
      <c r="Q169" s="8"/>
      <c r="R169" s="8"/>
      <c r="S169" s="8"/>
      <c r="T169" s="8"/>
      <c r="U169" s="8"/>
      <c r="V169" s="8"/>
      <c r="W169" s="8"/>
      <c r="X169" s="8"/>
      <c r="Y169" s="8"/>
      <c r="Z169" s="8"/>
    </row>
    <row r="170" spans="1:26" ht="12.75" customHeight="1" x14ac:dyDescent="0.25">
      <c r="A170" s="133"/>
      <c r="B170" s="8"/>
      <c r="C170" s="8"/>
      <c r="D170" s="8"/>
      <c r="E170" s="8"/>
      <c r="F170" s="8"/>
      <c r="G170" s="8"/>
      <c r="H170" s="8"/>
      <c r="I170" s="8"/>
      <c r="J170" s="8"/>
      <c r="K170" s="8"/>
      <c r="L170" s="94"/>
      <c r="M170" s="8"/>
      <c r="N170" s="8"/>
      <c r="O170" s="8"/>
      <c r="P170" s="8"/>
      <c r="Q170" s="8"/>
      <c r="R170" s="8"/>
      <c r="S170" s="8"/>
      <c r="T170" s="8"/>
      <c r="U170" s="8"/>
      <c r="V170" s="8"/>
      <c r="W170" s="8"/>
      <c r="X170" s="8"/>
      <c r="Y170" s="8"/>
      <c r="Z170" s="8"/>
    </row>
    <row r="171" spans="1:26" ht="12.75" customHeight="1" x14ac:dyDescent="0.25">
      <c r="A171" s="133"/>
      <c r="B171" s="8"/>
      <c r="C171" s="8"/>
      <c r="D171" s="8"/>
      <c r="E171" s="8"/>
      <c r="F171" s="8"/>
      <c r="G171" s="8"/>
      <c r="H171" s="8"/>
      <c r="I171" s="8"/>
      <c r="J171" s="8"/>
      <c r="K171" s="8"/>
      <c r="L171" s="94"/>
      <c r="M171" s="8"/>
      <c r="N171" s="8"/>
      <c r="O171" s="8"/>
      <c r="P171" s="8"/>
      <c r="Q171" s="8"/>
      <c r="R171" s="8"/>
      <c r="S171" s="8"/>
      <c r="T171" s="8"/>
      <c r="U171" s="8"/>
      <c r="V171" s="8"/>
      <c r="W171" s="8"/>
      <c r="X171" s="8"/>
      <c r="Y171" s="8"/>
      <c r="Z171" s="8"/>
    </row>
    <row r="172" spans="1:26" ht="12.75" customHeight="1" x14ac:dyDescent="0.25">
      <c r="A172" s="133"/>
      <c r="B172" s="8"/>
      <c r="C172" s="8"/>
      <c r="D172" s="8"/>
      <c r="E172" s="8"/>
      <c r="F172" s="8"/>
      <c r="G172" s="8"/>
      <c r="H172" s="8"/>
      <c r="I172" s="8"/>
      <c r="J172" s="8"/>
      <c r="K172" s="8"/>
      <c r="L172" s="94"/>
      <c r="M172" s="8"/>
      <c r="N172" s="8"/>
      <c r="O172" s="8"/>
      <c r="P172" s="8"/>
      <c r="Q172" s="8"/>
      <c r="R172" s="8"/>
      <c r="S172" s="8"/>
      <c r="T172" s="8"/>
      <c r="U172" s="8"/>
      <c r="V172" s="8"/>
      <c r="W172" s="8"/>
      <c r="X172" s="8"/>
      <c r="Y172" s="8"/>
      <c r="Z172" s="8"/>
    </row>
    <row r="173" spans="1:26" ht="12.75" customHeight="1" x14ac:dyDescent="0.25">
      <c r="A173" s="133"/>
      <c r="B173" s="8"/>
      <c r="C173" s="8"/>
      <c r="D173" s="8"/>
      <c r="E173" s="8"/>
      <c r="F173" s="8"/>
      <c r="G173" s="8"/>
      <c r="H173" s="8"/>
      <c r="I173" s="8"/>
      <c r="J173" s="8"/>
      <c r="K173" s="8"/>
      <c r="L173" s="94"/>
      <c r="M173" s="8"/>
      <c r="N173" s="8"/>
      <c r="O173" s="8"/>
      <c r="P173" s="8"/>
      <c r="Q173" s="8"/>
      <c r="R173" s="8"/>
      <c r="S173" s="8"/>
      <c r="T173" s="8"/>
      <c r="U173" s="8"/>
      <c r="V173" s="8"/>
      <c r="W173" s="8"/>
      <c r="X173" s="8"/>
      <c r="Y173" s="8"/>
      <c r="Z173" s="8"/>
    </row>
    <row r="174" spans="1:26" ht="12.75" customHeight="1" x14ac:dyDescent="0.25">
      <c r="A174" s="133"/>
      <c r="B174" s="8"/>
      <c r="C174" s="8"/>
      <c r="D174" s="8"/>
      <c r="E174" s="8"/>
      <c r="F174" s="8"/>
      <c r="G174" s="8"/>
      <c r="H174" s="8"/>
      <c r="I174" s="8"/>
      <c r="J174" s="8"/>
      <c r="K174" s="8"/>
      <c r="L174" s="94"/>
      <c r="M174" s="8"/>
      <c r="N174" s="8"/>
      <c r="O174" s="8"/>
      <c r="P174" s="8"/>
      <c r="Q174" s="8"/>
      <c r="R174" s="8"/>
      <c r="S174" s="8"/>
      <c r="T174" s="8"/>
      <c r="U174" s="8"/>
      <c r="V174" s="8"/>
      <c r="W174" s="8"/>
      <c r="X174" s="8"/>
      <c r="Y174" s="8"/>
      <c r="Z174" s="8"/>
    </row>
    <row r="175" spans="1:26" ht="12.75" customHeight="1" x14ac:dyDescent="0.25">
      <c r="A175" s="133"/>
      <c r="B175" s="8"/>
      <c r="C175" s="8"/>
      <c r="D175" s="8"/>
      <c r="E175" s="8"/>
      <c r="F175" s="8"/>
      <c r="G175" s="8"/>
      <c r="H175" s="8"/>
      <c r="I175" s="8"/>
      <c r="J175" s="8"/>
      <c r="K175" s="8"/>
      <c r="L175" s="94"/>
      <c r="M175" s="8"/>
      <c r="N175" s="8"/>
      <c r="O175" s="8"/>
      <c r="P175" s="8"/>
      <c r="Q175" s="8"/>
      <c r="R175" s="8"/>
      <c r="S175" s="8"/>
      <c r="T175" s="8"/>
      <c r="U175" s="8"/>
      <c r="V175" s="8"/>
      <c r="W175" s="8"/>
      <c r="X175" s="8"/>
      <c r="Y175" s="8"/>
      <c r="Z175" s="8"/>
    </row>
    <row r="176" spans="1:26" ht="12.75" customHeight="1" x14ac:dyDescent="0.25">
      <c r="A176" s="133"/>
      <c r="B176" s="8"/>
      <c r="C176" s="8"/>
      <c r="D176" s="8"/>
      <c r="E176" s="8"/>
      <c r="F176" s="8"/>
      <c r="G176" s="8"/>
      <c r="H176" s="8"/>
      <c r="I176" s="8"/>
      <c r="J176" s="8"/>
      <c r="K176" s="8"/>
      <c r="L176" s="94"/>
      <c r="M176" s="8"/>
      <c r="N176" s="8"/>
      <c r="O176" s="8"/>
      <c r="P176" s="8"/>
      <c r="Q176" s="8"/>
      <c r="R176" s="8"/>
      <c r="S176" s="8"/>
      <c r="T176" s="8"/>
      <c r="U176" s="8"/>
      <c r="V176" s="8"/>
      <c r="W176" s="8"/>
      <c r="X176" s="8"/>
      <c r="Y176" s="8"/>
      <c r="Z176" s="8"/>
    </row>
    <row r="177" spans="1:26" ht="12.75" customHeight="1" x14ac:dyDescent="0.25">
      <c r="A177" s="133"/>
      <c r="B177" s="8"/>
      <c r="C177" s="8"/>
      <c r="D177" s="8"/>
      <c r="E177" s="8"/>
      <c r="F177" s="8"/>
      <c r="G177" s="8"/>
      <c r="H177" s="8"/>
      <c r="I177" s="8"/>
      <c r="J177" s="8"/>
      <c r="K177" s="8"/>
      <c r="L177" s="94"/>
      <c r="M177" s="8"/>
      <c r="N177" s="8"/>
      <c r="O177" s="8"/>
      <c r="P177" s="8"/>
      <c r="Q177" s="8"/>
      <c r="R177" s="8"/>
      <c r="S177" s="8"/>
      <c r="T177" s="8"/>
      <c r="U177" s="8"/>
      <c r="V177" s="8"/>
      <c r="W177" s="8"/>
      <c r="X177" s="8"/>
      <c r="Y177" s="8"/>
      <c r="Z177" s="8"/>
    </row>
    <row r="178" spans="1:26" ht="12.75" customHeight="1" x14ac:dyDescent="0.25">
      <c r="A178" s="133"/>
      <c r="B178" s="8"/>
      <c r="C178" s="8"/>
      <c r="D178" s="8"/>
      <c r="E178" s="8"/>
      <c r="F178" s="8"/>
      <c r="G178" s="8"/>
      <c r="H178" s="8"/>
      <c r="I178" s="8"/>
      <c r="J178" s="8"/>
      <c r="K178" s="8"/>
      <c r="L178" s="94"/>
      <c r="M178" s="8"/>
      <c r="N178" s="8"/>
      <c r="O178" s="8"/>
      <c r="P178" s="8"/>
      <c r="Q178" s="8"/>
      <c r="R178" s="8"/>
      <c r="S178" s="8"/>
      <c r="T178" s="8"/>
      <c r="U178" s="8"/>
      <c r="V178" s="8"/>
      <c r="W178" s="8"/>
      <c r="X178" s="8"/>
      <c r="Y178" s="8"/>
      <c r="Z178" s="8"/>
    </row>
    <row r="179" spans="1:26" ht="12.75" customHeight="1" x14ac:dyDescent="0.25">
      <c r="A179" s="133"/>
      <c r="B179" s="8"/>
      <c r="C179" s="8"/>
      <c r="D179" s="8"/>
      <c r="E179" s="8"/>
      <c r="F179" s="8"/>
      <c r="G179" s="8"/>
      <c r="H179" s="8"/>
      <c r="I179" s="8"/>
      <c r="J179" s="8"/>
      <c r="K179" s="8"/>
      <c r="L179" s="94"/>
      <c r="M179" s="8"/>
      <c r="N179" s="8"/>
      <c r="O179" s="8"/>
      <c r="P179" s="8"/>
      <c r="Q179" s="8"/>
      <c r="R179" s="8"/>
      <c r="S179" s="8"/>
      <c r="T179" s="8"/>
      <c r="U179" s="8"/>
      <c r="V179" s="8"/>
      <c r="W179" s="8"/>
      <c r="X179" s="8"/>
      <c r="Y179" s="8"/>
      <c r="Z179" s="8"/>
    </row>
    <row r="180" spans="1:26" ht="12.75" customHeight="1" x14ac:dyDescent="0.25">
      <c r="A180" s="133"/>
      <c r="B180" s="8"/>
      <c r="C180" s="8"/>
      <c r="D180" s="8"/>
      <c r="E180" s="8"/>
      <c r="F180" s="8"/>
      <c r="G180" s="8"/>
      <c r="H180" s="8"/>
      <c r="I180" s="8"/>
      <c r="J180" s="8"/>
      <c r="K180" s="8"/>
      <c r="L180" s="94"/>
      <c r="M180" s="8"/>
      <c r="N180" s="8"/>
      <c r="O180" s="8"/>
      <c r="P180" s="8"/>
      <c r="Q180" s="8"/>
      <c r="R180" s="8"/>
      <c r="S180" s="8"/>
      <c r="T180" s="8"/>
      <c r="U180" s="8"/>
      <c r="V180" s="8"/>
      <c r="W180" s="8"/>
      <c r="X180" s="8"/>
      <c r="Y180" s="8"/>
      <c r="Z180" s="8"/>
    </row>
    <row r="181" spans="1:26" ht="12.75" customHeight="1" x14ac:dyDescent="0.25">
      <c r="A181" s="133"/>
      <c r="B181" s="8"/>
      <c r="C181" s="8"/>
      <c r="D181" s="8"/>
      <c r="E181" s="8"/>
      <c r="F181" s="8"/>
      <c r="G181" s="8"/>
      <c r="H181" s="8"/>
      <c r="I181" s="8"/>
      <c r="J181" s="8"/>
      <c r="K181" s="8"/>
      <c r="L181" s="94"/>
      <c r="M181" s="8"/>
      <c r="N181" s="8"/>
      <c r="O181" s="8"/>
      <c r="P181" s="8"/>
      <c r="Q181" s="8"/>
      <c r="R181" s="8"/>
      <c r="S181" s="8"/>
      <c r="T181" s="8"/>
      <c r="U181" s="8"/>
      <c r="V181" s="8"/>
      <c r="W181" s="8"/>
      <c r="X181" s="8"/>
      <c r="Y181" s="8"/>
      <c r="Z181" s="8"/>
    </row>
    <row r="182" spans="1:26" ht="12.75" customHeight="1" x14ac:dyDescent="0.25">
      <c r="A182" s="133"/>
      <c r="B182" s="8"/>
      <c r="C182" s="8"/>
      <c r="D182" s="8"/>
      <c r="E182" s="8"/>
      <c r="F182" s="8"/>
      <c r="G182" s="8"/>
      <c r="H182" s="8"/>
      <c r="I182" s="8"/>
      <c r="J182" s="8"/>
      <c r="K182" s="8"/>
      <c r="L182" s="94"/>
      <c r="M182" s="8"/>
      <c r="N182" s="8"/>
      <c r="O182" s="8"/>
      <c r="P182" s="8"/>
      <c r="Q182" s="8"/>
      <c r="R182" s="8"/>
      <c r="S182" s="8"/>
      <c r="T182" s="8"/>
      <c r="U182" s="8"/>
      <c r="V182" s="8"/>
      <c r="W182" s="8"/>
      <c r="X182" s="8"/>
      <c r="Y182" s="8"/>
      <c r="Z182" s="8"/>
    </row>
    <row r="183" spans="1:26" ht="12.75" customHeight="1" x14ac:dyDescent="0.25">
      <c r="A183" s="133"/>
      <c r="B183" s="8"/>
      <c r="C183" s="8"/>
      <c r="D183" s="8"/>
      <c r="E183" s="8"/>
      <c r="F183" s="8"/>
      <c r="G183" s="8"/>
      <c r="H183" s="8"/>
      <c r="I183" s="8"/>
      <c r="J183" s="8"/>
      <c r="K183" s="8"/>
      <c r="L183" s="94"/>
      <c r="M183" s="8"/>
      <c r="N183" s="8"/>
      <c r="O183" s="8"/>
      <c r="P183" s="8"/>
      <c r="Q183" s="8"/>
      <c r="R183" s="8"/>
      <c r="S183" s="8"/>
      <c r="T183" s="8"/>
      <c r="U183" s="8"/>
      <c r="V183" s="8"/>
      <c r="W183" s="8"/>
      <c r="X183" s="8"/>
      <c r="Y183" s="8"/>
      <c r="Z183" s="8"/>
    </row>
    <row r="184" spans="1:26" ht="12.75" customHeight="1" x14ac:dyDescent="0.25">
      <c r="A184" s="133"/>
      <c r="B184" s="8"/>
      <c r="C184" s="8"/>
      <c r="D184" s="8"/>
      <c r="E184" s="8"/>
      <c r="F184" s="8"/>
      <c r="G184" s="8"/>
      <c r="H184" s="8"/>
      <c r="I184" s="8"/>
      <c r="J184" s="8"/>
      <c r="K184" s="8"/>
      <c r="L184" s="94"/>
      <c r="M184" s="8"/>
      <c r="N184" s="8"/>
      <c r="O184" s="8"/>
      <c r="P184" s="8"/>
      <c r="Q184" s="8"/>
      <c r="R184" s="8"/>
      <c r="S184" s="8"/>
      <c r="T184" s="8"/>
      <c r="U184" s="8"/>
      <c r="V184" s="8"/>
      <c r="W184" s="8"/>
      <c r="X184" s="8"/>
      <c r="Y184" s="8"/>
      <c r="Z184" s="8"/>
    </row>
    <row r="185" spans="1:26" ht="12.75" customHeight="1" x14ac:dyDescent="0.25">
      <c r="A185" s="133"/>
      <c r="B185" s="8"/>
      <c r="C185" s="8"/>
      <c r="D185" s="8"/>
      <c r="E185" s="8"/>
      <c r="F185" s="8"/>
      <c r="G185" s="8"/>
      <c r="H185" s="8"/>
      <c r="I185" s="8"/>
      <c r="J185" s="8"/>
      <c r="K185" s="8"/>
      <c r="L185" s="94"/>
      <c r="M185" s="8"/>
      <c r="N185" s="8"/>
      <c r="O185" s="8"/>
      <c r="P185" s="8"/>
      <c r="Q185" s="8"/>
      <c r="R185" s="8"/>
      <c r="S185" s="8"/>
      <c r="T185" s="8"/>
      <c r="U185" s="8"/>
      <c r="V185" s="8"/>
      <c r="W185" s="8"/>
      <c r="X185" s="8"/>
      <c r="Y185" s="8"/>
      <c r="Z185" s="8"/>
    </row>
    <row r="186" spans="1:26" ht="12.75" customHeight="1" x14ac:dyDescent="0.25">
      <c r="A186" s="133"/>
      <c r="B186" s="8"/>
      <c r="C186" s="8"/>
      <c r="D186" s="8"/>
      <c r="E186" s="8"/>
      <c r="F186" s="8"/>
      <c r="G186" s="8"/>
      <c r="H186" s="8"/>
      <c r="I186" s="8"/>
      <c r="J186" s="8"/>
      <c r="K186" s="8"/>
      <c r="L186" s="94"/>
      <c r="M186" s="8"/>
      <c r="N186" s="8"/>
      <c r="O186" s="8"/>
      <c r="P186" s="8"/>
      <c r="Q186" s="8"/>
      <c r="R186" s="8"/>
      <c r="S186" s="8"/>
      <c r="T186" s="8"/>
      <c r="U186" s="8"/>
      <c r="V186" s="8"/>
      <c r="W186" s="8"/>
      <c r="X186" s="8"/>
      <c r="Y186" s="8"/>
      <c r="Z186" s="8"/>
    </row>
    <row r="187" spans="1:26" ht="12.75" customHeight="1" x14ac:dyDescent="0.25">
      <c r="A187" s="133"/>
      <c r="B187" s="8"/>
      <c r="C187" s="8"/>
      <c r="D187" s="8"/>
      <c r="E187" s="8"/>
      <c r="F187" s="8"/>
      <c r="G187" s="8"/>
      <c r="H187" s="8"/>
      <c r="I187" s="8"/>
      <c r="J187" s="8"/>
      <c r="K187" s="8"/>
      <c r="L187" s="94"/>
      <c r="M187" s="8"/>
      <c r="N187" s="8"/>
      <c r="O187" s="8"/>
      <c r="P187" s="8"/>
      <c r="Q187" s="8"/>
      <c r="R187" s="8"/>
      <c r="S187" s="8"/>
      <c r="T187" s="8"/>
      <c r="U187" s="8"/>
      <c r="V187" s="8"/>
      <c r="W187" s="8"/>
      <c r="X187" s="8"/>
      <c r="Y187" s="8"/>
      <c r="Z187" s="8"/>
    </row>
    <row r="188" spans="1:26" ht="12.75" customHeight="1" x14ac:dyDescent="0.25">
      <c r="A188" s="133"/>
      <c r="B188" s="8"/>
      <c r="C188" s="8"/>
      <c r="D188" s="8"/>
      <c r="E188" s="8"/>
      <c r="F188" s="8"/>
      <c r="G188" s="8"/>
      <c r="H188" s="8"/>
      <c r="I188" s="8"/>
      <c r="J188" s="8"/>
      <c r="K188" s="8"/>
      <c r="L188" s="94"/>
      <c r="M188" s="8"/>
      <c r="N188" s="8"/>
      <c r="O188" s="8"/>
      <c r="P188" s="8"/>
      <c r="Q188" s="8"/>
      <c r="R188" s="8"/>
      <c r="S188" s="8"/>
      <c r="T188" s="8"/>
      <c r="U188" s="8"/>
      <c r="V188" s="8"/>
      <c r="W188" s="8"/>
      <c r="X188" s="8"/>
      <c r="Y188" s="8"/>
      <c r="Z188" s="8"/>
    </row>
    <row r="189" spans="1:26" ht="12.75" customHeight="1" x14ac:dyDescent="0.25">
      <c r="A189" s="133"/>
      <c r="B189" s="8"/>
      <c r="C189" s="8"/>
      <c r="D189" s="8"/>
      <c r="E189" s="8"/>
      <c r="F189" s="8"/>
      <c r="G189" s="8"/>
      <c r="H189" s="8"/>
      <c r="I189" s="8"/>
      <c r="J189" s="8"/>
      <c r="K189" s="8"/>
      <c r="L189" s="94"/>
      <c r="M189" s="8"/>
      <c r="N189" s="8"/>
      <c r="O189" s="8"/>
      <c r="P189" s="8"/>
      <c r="Q189" s="8"/>
      <c r="R189" s="8"/>
      <c r="S189" s="8"/>
      <c r="T189" s="8"/>
      <c r="U189" s="8"/>
      <c r="V189" s="8"/>
      <c r="W189" s="8"/>
      <c r="X189" s="8"/>
      <c r="Y189" s="8"/>
      <c r="Z189" s="8"/>
    </row>
    <row r="190" spans="1:26" ht="12.75" customHeight="1" x14ac:dyDescent="0.25">
      <c r="A190" s="133"/>
      <c r="B190" s="8"/>
      <c r="C190" s="8"/>
      <c r="D190" s="8"/>
      <c r="E190" s="8"/>
      <c r="F190" s="8"/>
      <c r="G190" s="8"/>
      <c r="H190" s="8"/>
      <c r="I190" s="8"/>
      <c r="J190" s="8"/>
      <c r="K190" s="8"/>
      <c r="L190" s="94"/>
      <c r="M190" s="8"/>
      <c r="N190" s="8"/>
      <c r="O190" s="8"/>
      <c r="P190" s="8"/>
      <c r="Q190" s="8"/>
      <c r="R190" s="8"/>
      <c r="S190" s="8"/>
      <c r="T190" s="8"/>
      <c r="U190" s="8"/>
      <c r="V190" s="8"/>
      <c r="W190" s="8"/>
      <c r="X190" s="8"/>
      <c r="Y190" s="8"/>
      <c r="Z190" s="8"/>
    </row>
    <row r="191" spans="1:26" ht="12.75" customHeight="1" x14ac:dyDescent="0.25">
      <c r="A191" s="133"/>
      <c r="B191" s="8"/>
      <c r="C191" s="8"/>
      <c r="D191" s="8"/>
      <c r="E191" s="8"/>
      <c r="F191" s="8"/>
      <c r="G191" s="8"/>
      <c r="H191" s="8"/>
      <c r="I191" s="8"/>
      <c r="J191" s="8"/>
      <c r="K191" s="8"/>
      <c r="L191" s="94"/>
      <c r="M191" s="8"/>
      <c r="N191" s="8"/>
      <c r="O191" s="8"/>
      <c r="P191" s="8"/>
      <c r="Q191" s="8"/>
      <c r="R191" s="8"/>
      <c r="S191" s="8"/>
      <c r="T191" s="8"/>
      <c r="U191" s="8"/>
      <c r="V191" s="8"/>
      <c r="W191" s="8"/>
      <c r="X191" s="8"/>
      <c r="Y191" s="8"/>
      <c r="Z191" s="8"/>
    </row>
    <row r="192" spans="1:26" ht="12.75" customHeight="1" x14ac:dyDescent="0.25">
      <c r="A192" s="133"/>
      <c r="B192" s="8"/>
      <c r="C192" s="8"/>
      <c r="D192" s="8"/>
      <c r="E192" s="8"/>
      <c r="F192" s="8"/>
      <c r="G192" s="8"/>
      <c r="H192" s="8"/>
      <c r="I192" s="8"/>
      <c r="J192" s="8"/>
      <c r="K192" s="8"/>
      <c r="L192" s="94"/>
      <c r="M192" s="8"/>
      <c r="N192" s="8"/>
      <c r="O192" s="8"/>
      <c r="P192" s="8"/>
      <c r="Q192" s="8"/>
      <c r="R192" s="8"/>
      <c r="S192" s="8"/>
      <c r="T192" s="8"/>
      <c r="U192" s="8"/>
      <c r="V192" s="8"/>
      <c r="W192" s="8"/>
      <c r="X192" s="8"/>
      <c r="Y192" s="8"/>
      <c r="Z192" s="8"/>
    </row>
    <row r="193" spans="1:26" ht="12.75" customHeight="1" x14ac:dyDescent="0.25">
      <c r="A193" s="133"/>
      <c r="B193" s="8"/>
      <c r="C193" s="8"/>
      <c r="D193" s="8"/>
      <c r="E193" s="8"/>
      <c r="F193" s="8"/>
      <c r="G193" s="8"/>
      <c r="H193" s="8"/>
      <c r="I193" s="8"/>
      <c r="J193" s="8"/>
      <c r="K193" s="8"/>
      <c r="L193" s="94"/>
      <c r="M193" s="8"/>
      <c r="N193" s="8"/>
      <c r="O193" s="8"/>
      <c r="P193" s="8"/>
      <c r="Q193" s="8"/>
      <c r="R193" s="8"/>
      <c r="S193" s="8"/>
      <c r="T193" s="8"/>
      <c r="U193" s="8"/>
      <c r="V193" s="8"/>
      <c r="W193" s="8"/>
      <c r="X193" s="8"/>
      <c r="Y193" s="8"/>
      <c r="Z193" s="8"/>
    </row>
    <row r="194" spans="1:26" ht="12.75" customHeight="1" x14ac:dyDescent="0.25">
      <c r="A194" s="133"/>
      <c r="B194" s="8"/>
      <c r="C194" s="8"/>
      <c r="D194" s="8"/>
      <c r="E194" s="8"/>
      <c r="F194" s="8"/>
      <c r="G194" s="8"/>
      <c r="H194" s="8"/>
      <c r="I194" s="8"/>
      <c r="J194" s="8"/>
      <c r="K194" s="8"/>
      <c r="L194" s="94"/>
      <c r="M194" s="8"/>
      <c r="N194" s="8"/>
      <c r="O194" s="8"/>
      <c r="P194" s="8"/>
      <c r="Q194" s="8"/>
      <c r="R194" s="8"/>
      <c r="S194" s="8"/>
      <c r="T194" s="8"/>
      <c r="U194" s="8"/>
      <c r="V194" s="8"/>
      <c r="W194" s="8"/>
      <c r="X194" s="8"/>
      <c r="Y194" s="8"/>
      <c r="Z194" s="8"/>
    </row>
    <row r="195" spans="1:26" ht="12.75" customHeight="1" x14ac:dyDescent="0.25">
      <c r="A195" s="133"/>
      <c r="B195" s="8"/>
      <c r="C195" s="8"/>
      <c r="D195" s="8"/>
      <c r="E195" s="8"/>
      <c r="F195" s="8"/>
      <c r="G195" s="8"/>
      <c r="H195" s="8"/>
      <c r="I195" s="8"/>
      <c r="J195" s="8"/>
      <c r="K195" s="8"/>
      <c r="L195" s="94"/>
      <c r="M195" s="8"/>
      <c r="N195" s="8"/>
      <c r="O195" s="8"/>
      <c r="P195" s="8"/>
      <c r="Q195" s="8"/>
      <c r="R195" s="8"/>
      <c r="S195" s="8"/>
      <c r="T195" s="8"/>
      <c r="U195" s="8"/>
      <c r="V195" s="8"/>
      <c r="W195" s="8"/>
      <c r="X195" s="8"/>
      <c r="Y195" s="8"/>
      <c r="Z195" s="8"/>
    </row>
    <row r="196" spans="1:26" ht="12.75" customHeight="1" x14ac:dyDescent="0.25">
      <c r="A196" s="133"/>
      <c r="B196" s="8"/>
      <c r="C196" s="8"/>
      <c r="D196" s="8"/>
      <c r="E196" s="8"/>
      <c r="F196" s="8"/>
      <c r="G196" s="8"/>
      <c r="H196" s="8"/>
      <c r="I196" s="8"/>
      <c r="J196" s="8"/>
      <c r="K196" s="8"/>
      <c r="L196" s="94"/>
      <c r="M196" s="8"/>
      <c r="N196" s="8"/>
      <c r="O196" s="8"/>
      <c r="P196" s="8"/>
      <c r="Q196" s="8"/>
      <c r="R196" s="8"/>
      <c r="S196" s="8"/>
      <c r="T196" s="8"/>
      <c r="U196" s="8"/>
      <c r="V196" s="8"/>
      <c r="W196" s="8"/>
      <c r="X196" s="8"/>
      <c r="Y196" s="8"/>
      <c r="Z196" s="8"/>
    </row>
    <row r="197" spans="1:26" ht="12.75" customHeight="1" x14ac:dyDescent="0.25">
      <c r="A197" s="133"/>
      <c r="B197" s="8"/>
      <c r="C197" s="8"/>
      <c r="D197" s="8"/>
      <c r="E197" s="8"/>
      <c r="F197" s="8"/>
      <c r="G197" s="8"/>
      <c r="H197" s="8"/>
      <c r="I197" s="8"/>
      <c r="J197" s="8"/>
      <c r="K197" s="8"/>
      <c r="L197" s="94"/>
      <c r="M197" s="8"/>
      <c r="N197" s="8"/>
      <c r="O197" s="8"/>
      <c r="P197" s="8"/>
      <c r="Q197" s="8"/>
      <c r="R197" s="8"/>
      <c r="S197" s="8"/>
      <c r="T197" s="8"/>
      <c r="U197" s="8"/>
      <c r="V197" s="8"/>
      <c r="W197" s="8"/>
      <c r="X197" s="8"/>
      <c r="Y197" s="8"/>
      <c r="Z197" s="8"/>
    </row>
    <row r="198" spans="1:26" ht="12.75" customHeight="1" x14ac:dyDescent="0.25">
      <c r="A198" s="133"/>
      <c r="B198" s="8"/>
      <c r="C198" s="8"/>
      <c r="D198" s="8"/>
      <c r="E198" s="8"/>
      <c r="F198" s="8"/>
      <c r="G198" s="8"/>
      <c r="H198" s="8"/>
      <c r="I198" s="8"/>
      <c r="J198" s="8"/>
      <c r="K198" s="8"/>
      <c r="L198" s="94"/>
      <c r="M198" s="8"/>
      <c r="N198" s="8"/>
      <c r="O198" s="8"/>
      <c r="P198" s="8"/>
      <c r="Q198" s="8"/>
      <c r="R198" s="8"/>
      <c r="S198" s="8"/>
      <c r="T198" s="8"/>
      <c r="U198" s="8"/>
      <c r="V198" s="8"/>
      <c r="W198" s="8"/>
      <c r="X198" s="8"/>
      <c r="Y198" s="8"/>
      <c r="Z198" s="8"/>
    </row>
    <row r="199" spans="1:26" ht="12.75" customHeight="1" x14ac:dyDescent="0.25">
      <c r="A199" s="133"/>
      <c r="B199" s="8"/>
      <c r="C199" s="8"/>
      <c r="D199" s="8"/>
      <c r="E199" s="8"/>
      <c r="F199" s="8"/>
      <c r="G199" s="8"/>
      <c r="H199" s="8"/>
      <c r="I199" s="8"/>
      <c r="J199" s="8"/>
      <c r="K199" s="8"/>
      <c r="L199" s="94"/>
      <c r="M199" s="8"/>
      <c r="N199" s="8"/>
      <c r="O199" s="8"/>
      <c r="P199" s="8"/>
      <c r="Q199" s="8"/>
      <c r="R199" s="8"/>
      <c r="S199" s="8"/>
      <c r="T199" s="8"/>
      <c r="U199" s="8"/>
      <c r="V199" s="8"/>
      <c r="W199" s="8"/>
      <c r="X199" s="8"/>
      <c r="Y199" s="8"/>
      <c r="Z199" s="8"/>
    </row>
    <row r="200" spans="1:26" ht="12.75" customHeight="1" x14ac:dyDescent="0.25">
      <c r="A200" s="133"/>
      <c r="B200" s="8"/>
      <c r="C200" s="8"/>
      <c r="D200" s="8"/>
      <c r="E200" s="8"/>
      <c r="F200" s="8"/>
      <c r="G200" s="8"/>
      <c r="H200" s="8"/>
      <c r="I200" s="8"/>
      <c r="J200" s="8"/>
      <c r="K200" s="8"/>
      <c r="L200" s="94"/>
      <c r="M200" s="8"/>
      <c r="N200" s="8"/>
      <c r="O200" s="8"/>
      <c r="P200" s="8"/>
      <c r="Q200" s="8"/>
      <c r="R200" s="8"/>
      <c r="S200" s="8"/>
      <c r="T200" s="8"/>
      <c r="U200" s="8"/>
      <c r="V200" s="8"/>
      <c r="W200" s="8"/>
      <c r="X200" s="8"/>
      <c r="Y200" s="8"/>
      <c r="Z200" s="8"/>
    </row>
    <row r="201" spans="1:26" ht="12.75" customHeight="1" x14ac:dyDescent="0.25">
      <c r="A201" s="133"/>
      <c r="B201" s="8"/>
      <c r="C201" s="8"/>
      <c r="D201" s="8"/>
      <c r="E201" s="8"/>
      <c r="F201" s="8"/>
      <c r="G201" s="8"/>
      <c r="H201" s="8"/>
      <c r="I201" s="8"/>
      <c r="J201" s="8"/>
      <c r="K201" s="8"/>
      <c r="L201" s="94"/>
      <c r="M201" s="8"/>
      <c r="N201" s="8"/>
      <c r="O201" s="8"/>
      <c r="P201" s="8"/>
      <c r="Q201" s="8"/>
      <c r="R201" s="8"/>
      <c r="S201" s="8"/>
      <c r="T201" s="8"/>
      <c r="U201" s="8"/>
      <c r="V201" s="8"/>
      <c r="W201" s="8"/>
      <c r="X201" s="8"/>
      <c r="Y201" s="8"/>
      <c r="Z201" s="8"/>
    </row>
    <row r="202" spans="1:26" ht="12.75" customHeight="1" x14ac:dyDescent="0.25">
      <c r="A202" s="133"/>
      <c r="B202" s="8"/>
      <c r="C202" s="8"/>
      <c r="D202" s="8"/>
      <c r="E202" s="8"/>
      <c r="F202" s="8"/>
      <c r="G202" s="8"/>
      <c r="H202" s="8"/>
      <c r="I202" s="8"/>
      <c r="J202" s="8"/>
      <c r="K202" s="8"/>
      <c r="L202" s="94"/>
      <c r="M202" s="8"/>
      <c r="N202" s="8"/>
      <c r="O202" s="8"/>
      <c r="P202" s="8"/>
      <c r="Q202" s="8"/>
      <c r="R202" s="8"/>
      <c r="S202" s="8"/>
      <c r="T202" s="8"/>
      <c r="U202" s="8"/>
      <c r="V202" s="8"/>
      <c r="W202" s="8"/>
      <c r="X202" s="8"/>
      <c r="Y202" s="8"/>
      <c r="Z202" s="8"/>
    </row>
    <row r="203" spans="1:26" ht="12.75" customHeight="1" x14ac:dyDescent="0.25">
      <c r="A203" s="133"/>
      <c r="B203" s="8"/>
      <c r="C203" s="8"/>
      <c r="D203" s="8"/>
      <c r="E203" s="8"/>
      <c r="F203" s="8"/>
      <c r="G203" s="8"/>
      <c r="H203" s="8"/>
      <c r="I203" s="8"/>
      <c r="J203" s="8"/>
      <c r="K203" s="8"/>
      <c r="L203" s="94"/>
      <c r="M203" s="8"/>
      <c r="N203" s="8"/>
      <c r="O203" s="8"/>
      <c r="P203" s="8"/>
      <c r="Q203" s="8"/>
      <c r="R203" s="8"/>
      <c r="S203" s="8"/>
      <c r="T203" s="8"/>
      <c r="U203" s="8"/>
      <c r="V203" s="8"/>
      <c r="W203" s="8"/>
      <c r="X203" s="8"/>
      <c r="Y203" s="8"/>
      <c r="Z203" s="8"/>
    </row>
    <row r="204" spans="1:26" ht="12.75" customHeight="1" x14ac:dyDescent="0.25">
      <c r="A204" s="133"/>
      <c r="B204" s="8"/>
      <c r="C204" s="8"/>
      <c r="D204" s="8"/>
      <c r="E204" s="8"/>
      <c r="F204" s="8"/>
      <c r="G204" s="8"/>
      <c r="H204" s="8"/>
      <c r="I204" s="8"/>
      <c r="J204" s="8"/>
      <c r="K204" s="8"/>
      <c r="L204" s="94"/>
      <c r="M204" s="8"/>
      <c r="N204" s="8"/>
      <c r="O204" s="8"/>
      <c r="P204" s="8"/>
      <c r="Q204" s="8"/>
      <c r="R204" s="8"/>
      <c r="S204" s="8"/>
      <c r="T204" s="8"/>
      <c r="U204" s="8"/>
      <c r="V204" s="8"/>
      <c r="W204" s="8"/>
      <c r="X204" s="8"/>
      <c r="Y204" s="8"/>
      <c r="Z204" s="8"/>
    </row>
    <row r="205" spans="1:26" ht="12.75" customHeight="1" x14ac:dyDescent="0.25">
      <c r="A205" s="133"/>
      <c r="B205" s="8"/>
      <c r="C205" s="8"/>
      <c r="D205" s="8"/>
      <c r="E205" s="8"/>
      <c r="F205" s="8"/>
      <c r="G205" s="8"/>
      <c r="H205" s="8"/>
      <c r="I205" s="8"/>
      <c r="J205" s="8"/>
      <c r="K205" s="8"/>
      <c r="L205" s="94"/>
      <c r="M205" s="8"/>
      <c r="N205" s="8"/>
      <c r="O205" s="8"/>
      <c r="P205" s="8"/>
      <c r="Q205" s="8"/>
      <c r="R205" s="8"/>
      <c r="S205" s="8"/>
      <c r="T205" s="8"/>
      <c r="U205" s="8"/>
      <c r="V205" s="8"/>
      <c r="W205" s="8"/>
      <c r="X205" s="8"/>
      <c r="Y205" s="8"/>
      <c r="Z205" s="8"/>
    </row>
    <row r="206" spans="1:26" ht="12.75" customHeight="1" x14ac:dyDescent="0.25">
      <c r="A206" s="133"/>
      <c r="B206" s="8"/>
      <c r="C206" s="8"/>
      <c r="D206" s="8"/>
      <c r="E206" s="8"/>
      <c r="F206" s="8"/>
      <c r="G206" s="8"/>
      <c r="H206" s="8"/>
      <c r="I206" s="8"/>
      <c r="J206" s="8"/>
      <c r="K206" s="8"/>
      <c r="L206" s="94"/>
      <c r="M206" s="8"/>
      <c r="N206" s="8"/>
      <c r="O206" s="8"/>
      <c r="P206" s="8"/>
      <c r="Q206" s="8"/>
      <c r="R206" s="8"/>
      <c r="S206" s="8"/>
      <c r="T206" s="8"/>
      <c r="U206" s="8"/>
      <c r="V206" s="8"/>
      <c r="W206" s="8"/>
      <c r="X206" s="8"/>
      <c r="Y206" s="8"/>
      <c r="Z206" s="8"/>
    </row>
    <row r="207" spans="1:26" ht="12.75" customHeight="1" x14ac:dyDescent="0.25">
      <c r="A207" s="133"/>
      <c r="B207" s="8"/>
      <c r="C207" s="8"/>
      <c r="D207" s="8"/>
      <c r="E207" s="8"/>
      <c r="F207" s="8"/>
      <c r="G207" s="8"/>
      <c r="H207" s="8"/>
      <c r="I207" s="8"/>
      <c r="J207" s="8"/>
      <c r="K207" s="8"/>
      <c r="L207" s="94"/>
      <c r="M207" s="8"/>
      <c r="N207" s="8"/>
      <c r="O207" s="8"/>
      <c r="P207" s="8"/>
      <c r="Q207" s="8"/>
      <c r="R207" s="8"/>
      <c r="S207" s="8"/>
      <c r="T207" s="8"/>
      <c r="U207" s="8"/>
      <c r="V207" s="8"/>
      <c r="W207" s="8"/>
      <c r="X207" s="8"/>
      <c r="Y207" s="8"/>
      <c r="Z207" s="8"/>
    </row>
    <row r="208" spans="1:26"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sheetData>
  <mergeCells count="1">
    <mergeCell ref="B3:E3"/>
  </mergeCells>
  <conditionalFormatting sqref="I9:I23">
    <cfRule type="containsText" dxfId="105" priority="1" operator="containsText" text="&quot;Pass&quot;">
      <formula>NOT(ISERROR(SEARCH(("""Pass"""),(I9))))</formula>
    </cfRule>
    <cfRule type="containsText" dxfId="104" priority="2" operator="containsText" text="&quot;N/A&quot;">
      <formula>NOT(ISERROR(SEARCH(("""N/A"""),(I9))))</formula>
    </cfRule>
    <cfRule type="containsText" dxfId="103" priority="3" operator="containsText" text="&quot;Fail&quot;">
      <formula>NOT(ISERROR(SEARCH(("""Fail"""),(I9))))</formula>
    </cfRule>
    <cfRule type="containsText" dxfId="102" priority="4" operator="containsText" text="&quot;Pass&quot;">
      <formula>NOT(ISERROR(SEARCH(("""Pass"""),(I9))))</formula>
    </cfRule>
    <cfRule type="containsText" dxfId="101" priority="5" operator="containsText" text="&quot;Pass&quot;">
      <formula>NOT(ISERROR(SEARCH(("""Pass"""),(I9))))</formula>
    </cfRule>
    <cfRule type="containsText" dxfId="100" priority="6" operator="containsText" text="&quot;N/A&quot;">
      <formula>NOT(ISERROR(SEARCH(("""N/A"""),(I9))))</formula>
    </cfRule>
    <cfRule type="containsText" dxfId="99" priority="7" operator="containsText" text="&quot;Fail&quot;">
      <formula>NOT(ISERROR(SEARCH(("""Fail"""),(I9))))</formula>
    </cfRule>
    <cfRule type="containsText" dxfId="98" priority="8" operator="containsText" text="&quot;Pass&quot;">
      <formula>NOT(ISERROR(SEARCH(("""Pass"""),(I9))))</formula>
    </cfRule>
    <cfRule type="containsText" dxfId="97" priority="9" operator="containsText" text="Pass">
      <formula>NOT(ISERROR(SEARCH(("Pass"),(I9))))</formula>
    </cfRule>
    <cfRule type="containsText" dxfId="96" priority="10" operator="containsText" text="Fail">
      <formula>NOT(ISERROR(SEARCH(("Fail"),(I9))))</formula>
    </cfRule>
    <cfRule type="containsText" dxfId="95" priority="11" operator="containsText" text="Untested">
      <formula>NOT(ISERROR(SEARCH(("Untested"),(I9))))</formula>
    </cfRule>
  </conditionalFormatting>
  <dataValidations count="2">
    <dataValidation type="list" allowBlank="1" showInputMessage="1" showErrorMessage="1" prompt=" - " sqref="I1:I3 I7:I8 I24:I129" xr:uid="{D99E3222-4288-4599-BC22-FF6B4D8FC845}">
      <formula1>$M$2:$M$6</formula1>
    </dataValidation>
    <dataValidation type="list" allowBlank="1" showInputMessage="1" showErrorMessage="1" prompt=" - " sqref="I9:I23" xr:uid="{C4612A60-1A8C-4E83-A43C-1EC007EF02E0}">
      <formula1>"Pass,Fail,Untested,N/A"</formula1>
    </dataValidation>
  </dataValidations>
  <pageMargins left="0.7" right="0.7" top="0.75" bottom="0.75" header="0" footer="0"/>
  <pageSetup orientation="landscape" r:id="rId1"/>
  <headerFooter>
    <oddHeader>&amp;LFacilitate_Test Case\Company&amp;Rv1.0</oddHeader>
    <oddFooter>&amp;L 02ae-BM/PM/HDCV/FSOFT v2/0&amp;CInternal use&amp;R&amp;P/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A88B-8692-42A5-A4D0-C6B2A06D2797}">
  <dimension ref="A1:Z999"/>
  <sheetViews>
    <sheetView zoomScale="70" workbookViewId="0">
      <pane ySplit="8" topLeftCell="A15" activePane="bottomLeft" state="frozen"/>
      <selection pane="bottomLeft" activeCell="I17" sqref="I17"/>
    </sheetView>
  </sheetViews>
  <sheetFormatPr defaultColWidth="12.6640625" defaultRowHeight="15" customHeight="1" x14ac:dyDescent="0.2"/>
  <cols>
    <col min="1" max="1" width="14.33203125" style="134" customWidth="1"/>
    <col min="2" max="5" width="20.33203125" customWidth="1"/>
    <col min="6" max="7" width="25" customWidth="1"/>
    <col min="8" max="8" width="30.109375" customWidth="1"/>
    <col min="9" max="9" width="15.109375" customWidth="1"/>
    <col min="10" max="10" width="16.33203125" customWidth="1"/>
    <col min="11" max="11" width="15.88671875" customWidth="1"/>
    <col min="12" max="12" width="8.109375" customWidth="1"/>
    <col min="13" max="13" width="10" hidden="1" customWidth="1"/>
    <col min="14" max="26" width="10" customWidth="1"/>
  </cols>
  <sheetData>
    <row r="1" spans="1:26" ht="13.5" customHeight="1" thickBot="1" x14ac:dyDescent="0.3">
      <c r="A1" s="124"/>
      <c r="B1" s="55"/>
      <c r="C1" s="55"/>
      <c r="D1" s="56"/>
      <c r="E1" s="56"/>
      <c r="F1" s="56"/>
      <c r="G1" s="56"/>
      <c r="H1" s="56"/>
      <c r="I1" s="36"/>
      <c r="J1" s="57"/>
      <c r="K1" s="36"/>
      <c r="L1" s="58"/>
      <c r="M1" s="59"/>
      <c r="N1" s="59"/>
      <c r="O1" s="59"/>
      <c r="P1" s="59"/>
      <c r="Q1" s="59"/>
      <c r="R1" s="59"/>
      <c r="S1" s="59"/>
      <c r="T1" s="59"/>
      <c r="U1" s="59"/>
      <c r="V1" s="59"/>
      <c r="W1" s="59"/>
      <c r="X1" s="59"/>
      <c r="Y1" s="59"/>
      <c r="Z1" s="59"/>
    </row>
    <row r="2" spans="1:26" ht="28.5" customHeight="1" x14ac:dyDescent="0.25">
      <c r="A2" s="125" t="s">
        <v>31</v>
      </c>
      <c r="B2" s="141" t="s">
        <v>401</v>
      </c>
      <c r="C2" s="62"/>
      <c r="D2" s="63"/>
      <c r="E2" s="64"/>
      <c r="F2" s="65"/>
      <c r="G2" s="66"/>
      <c r="H2" s="67"/>
      <c r="I2" s="67"/>
      <c r="J2" s="36"/>
      <c r="K2" s="36"/>
      <c r="L2" s="58"/>
      <c r="M2" s="59" t="s">
        <v>32</v>
      </c>
      <c r="N2" s="59"/>
      <c r="O2" s="59"/>
      <c r="P2" s="59"/>
      <c r="Q2" s="59"/>
      <c r="R2" s="59"/>
      <c r="S2" s="59"/>
      <c r="T2" s="59"/>
      <c r="U2" s="59"/>
      <c r="V2" s="59"/>
      <c r="W2" s="59"/>
      <c r="X2" s="59"/>
      <c r="Y2" s="59"/>
      <c r="Z2" s="59"/>
    </row>
    <row r="3" spans="1:26" ht="34.5" customHeight="1" x14ac:dyDescent="0.25">
      <c r="A3" s="126" t="s">
        <v>33</v>
      </c>
      <c r="B3" s="235" t="s">
        <v>656</v>
      </c>
      <c r="C3" s="236"/>
      <c r="D3" s="236"/>
      <c r="E3" s="237"/>
      <c r="F3" s="65"/>
      <c r="G3" s="66"/>
      <c r="H3" s="67"/>
      <c r="I3" s="67"/>
      <c r="J3" s="36"/>
      <c r="K3" s="36"/>
      <c r="L3" s="58"/>
      <c r="M3" s="59" t="s">
        <v>34</v>
      </c>
      <c r="N3" s="59"/>
      <c r="O3" s="59"/>
      <c r="P3" s="59"/>
      <c r="Q3" s="59"/>
      <c r="R3" s="59"/>
      <c r="S3" s="59"/>
      <c r="T3" s="59"/>
      <c r="U3" s="59"/>
      <c r="V3" s="59"/>
      <c r="W3" s="59"/>
      <c r="X3" s="59"/>
      <c r="Y3" s="59"/>
      <c r="Z3" s="59"/>
    </row>
    <row r="4" spans="1:26" ht="6.6" customHeight="1" x14ac:dyDescent="0.25">
      <c r="A4" s="127" t="s">
        <v>35</v>
      </c>
      <c r="B4" s="70"/>
      <c r="C4" s="71"/>
      <c r="D4" s="71"/>
      <c r="E4" s="72"/>
      <c r="F4" s="67"/>
      <c r="G4" s="73"/>
      <c r="H4" s="67"/>
      <c r="I4" s="67"/>
      <c r="J4" s="36"/>
      <c r="K4" s="36"/>
      <c r="L4" s="58"/>
      <c r="M4" s="74"/>
      <c r="N4" s="59"/>
      <c r="O4" s="59"/>
      <c r="P4" s="59"/>
      <c r="Q4" s="59"/>
      <c r="R4" s="59"/>
      <c r="S4" s="59"/>
      <c r="T4" s="59"/>
      <c r="U4" s="59"/>
      <c r="V4" s="59"/>
      <c r="W4" s="59"/>
      <c r="X4" s="59"/>
      <c r="Y4" s="59"/>
      <c r="Z4" s="59"/>
    </row>
    <row r="5" spans="1:26" ht="24.6" customHeight="1" x14ac:dyDescent="0.25">
      <c r="A5" s="128" t="s">
        <v>32</v>
      </c>
      <c r="B5" s="76" t="s">
        <v>34</v>
      </c>
      <c r="C5" s="76" t="s">
        <v>36</v>
      </c>
      <c r="D5" s="76" t="s">
        <v>37</v>
      </c>
      <c r="E5" s="77" t="s">
        <v>38</v>
      </c>
      <c r="F5" s="59"/>
      <c r="G5" s="78"/>
      <c r="H5" s="78"/>
      <c r="I5" s="78"/>
      <c r="J5" s="79"/>
      <c r="K5" s="79"/>
      <c r="L5" s="80"/>
      <c r="M5" s="59" t="s">
        <v>39</v>
      </c>
      <c r="N5" s="59"/>
      <c r="O5" s="59"/>
      <c r="P5" s="59"/>
      <c r="Q5" s="59"/>
      <c r="R5" s="59"/>
      <c r="S5" s="59"/>
      <c r="T5" s="59"/>
      <c r="U5" s="59"/>
      <c r="V5" s="59"/>
      <c r="W5" s="59"/>
      <c r="X5" s="59"/>
      <c r="Y5" s="59"/>
      <c r="Z5" s="59"/>
    </row>
    <row r="6" spans="1:26" ht="26.4" customHeight="1" thickBot="1" x14ac:dyDescent="0.3">
      <c r="A6" s="129">
        <f>COUNTIF(I9:I994,"Pass")</f>
        <v>21</v>
      </c>
      <c r="B6" s="82">
        <f>COUNTIF(I9:I994,"Fail")</f>
        <v>4</v>
      </c>
      <c r="C6" s="82">
        <f>E6-D6-A6-B6</f>
        <v>1</v>
      </c>
      <c r="D6" s="83">
        <f>COUNTIF(H$9:I$994,"N/A")</f>
        <v>0</v>
      </c>
      <c r="E6" s="84">
        <f>COUNTA(A9:A998)</f>
        <v>26</v>
      </c>
      <c r="F6" s="59"/>
      <c r="G6" s="85"/>
      <c r="H6" s="85"/>
      <c r="I6" s="86"/>
      <c r="J6" s="79"/>
      <c r="K6" s="79"/>
      <c r="L6" s="80"/>
      <c r="M6" s="59" t="s">
        <v>37</v>
      </c>
      <c r="N6" s="59"/>
      <c r="O6" s="59"/>
      <c r="P6" s="59"/>
      <c r="Q6" s="59"/>
      <c r="R6" s="59"/>
      <c r="S6" s="59"/>
      <c r="T6" s="59"/>
      <c r="U6" s="59"/>
      <c r="V6" s="59"/>
      <c r="W6" s="59"/>
      <c r="X6" s="59"/>
      <c r="Y6" s="59"/>
      <c r="Z6" s="59"/>
    </row>
    <row r="7" spans="1:26" ht="28.2" customHeight="1" x14ac:dyDescent="0.25">
      <c r="A7" s="130"/>
      <c r="B7" s="59"/>
      <c r="C7" s="59"/>
      <c r="D7" s="59"/>
      <c r="E7" s="59"/>
      <c r="F7" s="59"/>
      <c r="G7" s="59"/>
      <c r="H7" s="87"/>
      <c r="I7" s="79"/>
      <c r="J7" s="79"/>
      <c r="K7" s="79"/>
      <c r="L7" s="80"/>
      <c r="M7" s="59"/>
      <c r="N7" s="59"/>
      <c r="O7" s="59"/>
      <c r="P7" s="59"/>
      <c r="Q7" s="59"/>
      <c r="R7" s="59"/>
      <c r="S7" s="59"/>
      <c r="T7" s="59"/>
      <c r="U7" s="59"/>
      <c r="V7" s="59"/>
      <c r="W7" s="59"/>
      <c r="X7" s="59"/>
      <c r="Y7" s="59"/>
      <c r="Z7" s="59"/>
    </row>
    <row r="8" spans="1:26" ht="25.8" customHeight="1" x14ac:dyDescent="0.25">
      <c r="A8" s="131" t="s">
        <v>40</v>
      </c>
      <c r="B8" s="88" t="s">
        <v>41</v>
      </c>
      <c r="C8" s="88" t="s">
        <v>42</v>
      </c>
      <c r="D8" s="88" t="s">
        <v>43</v>
      </c>
      <c r="E8" s="88" t="s">
        <v>44</v>
      </c>
      <c r="F8" s="88" t="s">
        <v>45</v>
      </c>
      <c r="G8" s="88" t="s">
        <v>46</v>
      </c>
      <c r="H8" s="88" t="s">
        <v>47</v>
      </c>
      <c r="I8" s="89" t="s">
        <v>48</v>
      </c>
      <c r="J8" s="89" t="s">
        <v>49</v>
      </c>
      <c r="K8" s="88" t="s">
        <v>50</v>
      </c>
      <c r="L8" s="90"/>
      <c r="M8" s="59"/>
      <c r="N8" s="59"/>
      <c r="O8" s="59"/>
      <c r="P8" s="59"/>
      <c r="Q8" s="59"/>
      <c r="R8" s="59"/>
      <c r="S8" s="59"/>
      <c r="T8" s="59"/>
      <c r="U8" s="59"/>
      <c r="V8" s="59"/>
      <c r="W8" s="59"/>
      <c r="X8" s="59"/>
      <c r="Y8" s="59"/>
      <c r="Z8" s="59"/>
    </row>
    <row r="9" spans="1:26" s="151" customFormat="1" ht="60" customHeight="1" x14ac:dyDescent="0.25">
      <c r="A9" s="152" t="str">
        <f t="shared" ref="A9:A34" si="0">$B$2&amp;"-"&amp;ROW()-8</f>
        <v>Quản lí giỏ hàng-1</v>
      </c>
      <c r="B9" s="153" t="s">
        <v>59</v>
      </c>
      <c r="C9" s="154"/>
      <c r="D9" s="148" t="s">
        <v>345</v>
      </c>
      <c r="E9" s="148" t="s">
        <v>637</v>
      </c>
      <c r="F9" s="148" t="s">
        <v>346</v>
      </c>
      <c r="G9" s="148"/>
      <c r="H9" s="161" t="s">
        <v>639</v>
      </c>
      <c r="I9" s="148" t="s">
        <v>32</v>
      </c>
      <c r="J9" s="148"/>
      <c r="K9" s="148"/>
      <c r="L9" s="162"/>
      <c r="M9" s="156"/>
      <c r="N9" s="156"/>
      <c r="O9" s="156"/>
      <c r="P9" s="156"/>
      <c r="Q9" s="156"/>
      <c r="R9" s="156"/>
      <c r="S9" s="156"/>
      <c r="T9" s="156"/>
      <c r="U9" s="156"/>
      <c r="V9" s="156"/>
      <c r="W9" s="156"/>
      <c r="X9" s="156"/>
      <c r="Y9" s="156"/>
      <c r="Z9" s="156"/>
    </row>
    <row r="10" spans="1:26" s="151" customFormat="1" ht="74.400000000000006" customHeight="1" x14ac:dyDescent="0.25">
      <c r="A10" s="152" t="str">
        <f t="shared" si="0"/>
        <v>Quản lí giỏ hàng-2</v>
      </c>
      <c r="B10" s="174"/>
      <c r="C10" s="154"/>
      <c r="D10" s="148" t="s">
        <v>402</v>
      </c>
      <c r="E10" s="148" t="s">
        <v>638</v>
      </c>
      <c r="F10" s="148" t="s">
        <v>346</v>
      </c>
      <c r="G10" s="148" t="s">
        <v>499</v>
      </c>
      <c r="H10" s="161" t="s">
        <v>639</v>
      </c>
      <c r="I10" s="148" t="s">
        <v>32</v>
      </c>
      <c r="J10" s="148"/>
      <c r="K10" s="148"/>
      <c r="L10" s="149"/>
      <c r="M10" s="150"/>
      <c r="N10" s="150"/>
      <c r="O10" s="150"/>
      <c r="P10" s="150"/>
      <c r="Q10" s="150"/>
      <c r="R10" s="150"/>
      <c r="S10" s="150"/>
      <c r="T10" s="150"/>
      <c r="U10" s="150"/>
      <c r="V10" s="150"/>
      <c r="W10" s="150"/>
      <c r="X10" s="150"/>
      <c r="Y10" s="150"/>
      <c r="Z10" s="150"/>
    </row>
    <row r="11" spans="1:26" s="151" customFormat="1" ht="81" customHeight="1" x14ac:dyDescent="0.25">
      <c r="A11" s="152" t="str">
        <f t="shared" si="0"/>
        <v>Quản lí giỏ hàng-3</v>
      </c>
      <c r="B11" s="175" t="s">
        <v>60</v>
      </c>
      <c r="C11" s="148"/>
      <c r="D11" s="148" t="s">
        <v>64</v>
      </c>
      <c r="E11" s="148" t="s">
        <v>638</v>
      </c>
      <c r="F11" s="148" t="s">
        <v>65</v>
      </c>
      <c r="G11" s="148"/>
      <c r="H11" s="148" t="s">
        <v>348</v>
      </c>
      <c r="I11" s="148" t="s">
        <v>32</v>
      </c>
      <c r="J11" s="148"/>
      <c r="K11" s="148"/>
      <c r="L11" s="162"/>
      <c r="M11" s="156"/>
      <c r="N11" s="156"/>
      <c r="O11" s="156"/>
      <c r="P11" s="156"/>
      <c r="Q11" s="156"/>
      <c r="R11" s="156"/>
      <c r="S11" s="156"/>
      <c r="T11" s="156"/>
      <c r="U11" s="156"/>
      <c r="V11" s="156"/>
      <c r="W11" s="156"/>
      <c r="X11" s="156"/>
      <c r="Y11" s="156"/>
      <c r="Z11" s="156"/>
    </row>
    <row r="12" spans="1:26" s="151" customFormat="1" ht="55.05" customHeight="1" x14ac:dyDescent="0.25">
      <c r="A12" s="152" t="str">
        <f t="shared" si="0"/>
        <v>Quản lí giỏ hàng-4</v>
      </c>
      <c r="B12" s="148"/>
      <c r="C12" s="148"/>
      <c r="D12" s="148" t="s">
        <v>67</v>
      </c>
      <c r="E12" s="148" t="s">
        <v>638</v>
      </c>
      <c r="F12" s="148" t="s">
        <v>153</v>
      </c>
      <c r="G12" s="148"/>
      <c r="H12" s="148" t="s">
        <v>154</v>
      </c>
      <c r="I12" s="148" t="s">
        <v>32</v>
      </c>
      <c r="J12" s="148"/>
      <c r="K12" s="148"/>
      <c r="L12" s="149"/>
      <c r="M12" s="150"/>
      <c r="N12" s="150"/>
      <c r="O12" s="150"/>
      <c r="P12" s="150"/>
      <c r="Q12" s="150"/>
      <c r="R12" s="150"/>
      <c r="S12" s="150"/>
      <c r="T12" s="150"/>
      <c r="U12" s="150"/>
      <c r="V12" s="150"/>
      <c r="W12" s="150"/>
      <c r="X12" s="150"/>
      <c r="Y12" s="150"/>
      <c r="Z12" s="150"/>
    </row>
    <row r="13" spans="1:26" s="151" customFormat="1" ht="55.05" customHeight="1" x14ac:dyDescent="0.25">
      <c r="A13" s="152" t="str">
        <f t="shared" si="0"/>
        <v>Quản lí giỏ hàng-5</v>
      </c>
      <c r="B13" s="148"/>
      <c r="C13" s="148"/>
      <c r="D13" s="148" t="s">
        <v>68</v>
      </c>
      <c r="E13" s="148" t="s">
        <v>638</v>
      </c>
      <c r="F13" s="148" t="s">
        <v>155</v>
      </c>
      <c r="G13" s="148"/>
      <c r="H13" s="148" t="s">
        <v>338</v>
      </c>
      <c r="I13" s="148" t="s">
        <v>32</v>
      </c>
      <c r="J13" s="148"/>
      <c r="K13" s="148"/>
      <c r="L13" s="149"/>
      <c r="M13" s="150"/>
      <c r="N13" s="150"/>
      <c r="O13" s="150"/>
      <c r="P13" s="150"/>
      <c r="Q13" s="150"/>
      <c r="R13" s="150"/>
      <c r="S13" s="150"/>
      <c r="T13" s="150"/>
      <c r="U13" s="150"/>
      <c r="V13" s="150"/>
      <c r="W13" s="150"/>
      <c r="X13" s="150"/>
      <c r="Y13" s="150"/>
      <c r="Z13" s="150"/>
    </row>
    <row r="14" spans="1:26" s="151" customFormat="1" ht="55.05" customHeight="1" x14ac:dyDescent="0.25">
      <c r="A14" s="152" t="str">
        <f t="shared" si="0"/>
        <v>Quản lí giỏ hàng-6</v>
      </c>
      <c r="B14" s="148"/>
      <c r="C14" s="148"/>
      <c r="D14" s="148" t="s">
        <v>69</v>
      </c>
      <c r="E14" s="148" t="s">
        <v>638</v>
      </c>
      <c r="F14" s="148" t="s">
        <v>303</v>
      </c>
      <c r="G14" s="148"/>
      <c r="H14" s="148" t="s">
        <v>342</v>
      </c>
      <c r="I14" s="148" t="s">
        <v>32</v>
      </c>
      <c r="J14" s="148"/>
      <c r="K14" s="148"/>
      <c r="L14" s="149"/>
      <c r="M14" s="150"/>
      <c r="N14" s="150"/>
      <c r="O14" s="150"/>
      <c r="P14" s="150"/>
      <c r="Q14" s="150"/>
      <c r="R14" s="150"/>
      <c r="S14" s="150"/>
      <c r="T14" s="150"/>
      <c r="U14" s="150"/>
      <c r="V14" s="150"/>
      <c r="W14" s="150"/>
      <c r="X14" s="150"/>
      <c r="Y14" s="150"/>
      <c r="Z14" s="150"/>
    </row>
    <row r="15" spans="1:26" s="151" customFormat="1" ht="55.05" customHeight="1" x14ac:dyDescent="0.25">
      <c r="A15" s="152" t="str">
        <f t="shared" si="0"/>
        <v>Quản lí giỏ hàng-7</v>
      </c>
      <c r="B15" s="159" t="s">
        <v>62</v>
      </c>
      <c r="C15" s="159" t="s">
        <v>370</v>
      </c>
      <c r="D15" s="159" t="s">
        <v>403</v>
      </c>
      <c r="E15" s="148" t="s">
        <v>640</v>
      </c>
      <c r="F15" s="159" t="s">
        <v>371</v>
      </c>
      <c r="G15" s="159"/>
      <c r="H15" s="159" t="s">
        <v>641</v>
      </c>
      <c r="I15" s="159" t="s">
        <v>32</v>
      </c>
      <c r="J15" s="159"/>
      <c r="K15" s="159"/>
      <c r="L15" s="149"/>
      <c r="M15" s="150"/>
      <c r="N15" s="150"/>
      <c r="O15" s="150"/>
      <c r="P15" s="150"/>
      <c r="Q15" s="150"/>
      <c r="R15" s="150"/>
      <c r="S15" s="150"/>
      <c r="T15" s="150"/>
      <c r="U15" s="150"/>
      <c r="V15" s="150"/>
      <c r="W15" s="150"/>
      <c r="X15" s="150"/>
      <c r="Y15" s="150"/>
      <c r="Z15" s="150"/>
    </row>
    <row r="16" spans="1:26" s="151" customFormat="1" ht="94.2" customHeight="1" x14ac:dyDescent="0.25">
      <c r="A16" s="152" t="str">
        <f t="shared" si="0"/>
        <v>Quản lí giỏ hàng-8</v>
      </c>
      <c r="B16" s="159"/>
      <c r="C16" s="159"/>
      <c r="D16" s="171" t="s">
        <v>372</v>
      </c>
      <c r="E16" s="148" t="s">
        <v>642</v>
      </c>
      <c r="F16" s="159" t="s">
        <v>371</v>
      </c>
      <c r="G16" s="159"/>
      <c r="H16" s="159" t="s">
        <v>404</v>
      </c>
      <c r="I16" s="159" t="s">
        <v>32</v>
      </c>
      <c r="J16" s="159"/>
      <c r="K16" s="159"/>
      <c r="L16" s="149"/>
      <c r="M16" s="150"/>
      <c r="N16" s="150"/>
      <c r="O16" s="150"/>
      <c r="P16" s="150"/>
      <c r="Q16" s="150"/>
      <c r="R16" s="150"/>
      <c r="S16" s="150"/>
      <c r="T16" s="150"/>
      <c r="U16" s="150"/>
      <c r="V16" s="150"/>
      <c r="W16" s="150"/>
      <c r="X16" s="150"/>
      <c r="Y16" s="150"/>
      <c r="Z16" s="150"/>
    </row>
    <row r="17" spans="1:26" s="151" customFormat="1" ht="55.05" customHeight="1" x14ac:dyDescent="0.25">
      <c r="A17" s="152" t="str">
        <f t="shared" si="0"/>
        <v>Quản lí giỏ hàng-9</v>
      </c>
      <c r="B17" s="157"/>
      <c r="C17" s="157"/>
      <c r="D17" s="157" t="s">
        <v>373</v>
      </c>
      <c r="E17" s="148" t="s">
        <v>640</v>
      </c>
      <c r="F17" s="164" t="s">
        <v>371</v>
      </c>
      <c r="G17" s="159"/>
      <c r="H17" s="159" t="s">
        <v>416</v>
      </c>
      <c r="I17" s="159" t="s">
        <v>36</v>
      </c>
      <c r="J17" s="159"/>
      <c r="K17" s="159"/>
      <c r="L17" s="149"/>
      <c r="M17" s="150"/>
      <c r="N17" s="150"/>
      <c r="O17" s="150"/>
      <c r="P17" s="150"/>
      <c r="Q17" s="150"/>
      <c r="R17" s="150"/>
      <c r="S17" s="150"/>
      <c r="T17" s="150"/>
      <c r="U17" s="150"/>
      <c r="V17" s="150"/>
      <c r="W17" s="150"/>
      <c r="X17" s="150"/>
      <c r="Y17" s="150"/>
      <c r="Z17" s="150"/>
    </row>
    <row r="18" spans="1:26" s="151" customFormat="1" ht="87" customHeight="1" x14ac:dyDescent="0.25">
      <c r="A18" s="152" t="str">
        <f t="shared" si="0"/>
        <v>Quản lí giỏ hàng-10</v>
      </c>
      <c r="B18" s="163"/>
      <c r="C18" s="163" t="s">
        <v>350</v>
      </c>
      <c r="D18" s="163" t="s">
        <v>351</v>
      </c>
      <c r="E18" s="170" t="s">
        <v>650</v>
      </c>
      <c r="F18" s="159" t="s">
        <v>367</v>
      </c>
      <c r="G18" s="159" t="s">
        <v>363</v>
      </c>
      <c r="H18" s="159" t="s">
        <v>405</v>
      </c>
      <c r="I18" s="159" t="s">
        <v>32</v>
      </c>
      <c r="J18" s="177"/>
      <c r="K18" s="159"/>
      <c r="L18" s="156"/>
      <c r="M18" s="156"/>
      <c r="N18" s="156"/>
      <c r="O18" s="156"/>
      <c r="P18" s="156"/>
      <c r="Q18" s="156"/>
      <c r="R18" s="156"/>
      <c r="S18" s="156"/>
      <c r="T18" s="156"/>
      <c r="U18" s="156"/>
      <c r="V18" s="156"/>
      <c r="W18" s="156"/>
      <c r="X18" s="156"/>
      <c r="Y18" s="156"/>
      <c r="Z18" s="156"/>
    </row>
    <row r="19" spans="1:26" s="151" customFormat="1" ht="94.2" customHeight="1" x14ac:dyDescent="0.25">
      <c r="A19" s="152" t="str">
        <f t="shared" si="0"/>
        <v>Quản lí giỏ hàng-11</v>
      </c>
      <c r="B19" s="170"/>
      <c r="C19" s="170"/>
      <c r="D19" s="170" t="s">
        <v>352</v>
      </c>
      <c r="E19" s="170" t="s">
        <v>650</v>
      </c>
      <c r="F19" s="159" t="s">
        <v>368</v>
      </c>
      <c r="G19" s="159" t="s">
        <v>364</v>
      </c>
      <c r="H19" s="159" t="s">
        <v>405</v>
      </c>
      <c r="I19" s="170" t="s">
        <v>32</v>
      </c>
      <c r="J19" s="178"/>
      <c r="K19" s="159"/>
      <c r="L19" s="150"/>
      <c r="M19" s="150"/>
      <c r="N19" s="150"/>
      <c r="O19" s="150"/>
      <c r="P19" s="150"/>
      <c r="Q19" s="150"/>
      <c r="R19" s="150"/>
      <c r="S19" s="150"/>
      <c r="T19" s="150"/>
      <c r="U19" s="150"/>
      <c r="V19" s="150"/>
      <c r="W19" s="150"/>
      <c r="X19" s="150"/>
      <c r="Y19" s="150"/>
      <c r="Z19" s="150"/>
    </row>
    <row r="20" spans="1:26" s="151" customFormat="1" ht="97.8" customHeight="1" x14ac:dyDescent="0.25">
      <c r="A20" s="152" t="str">
        <f t="shared" si="0"/>
        <v>Quản lí giỏ hàng-12</v>
      </c>
      <c r="B20" s="157"/>
      <c r="C20" s="157"/>
      <c r="D20" s="181" t="s">
        <v>366</v>
      </c>
      <c r="E20" s="170" t="s">
        <v>651</v>
      </c>
      <c r="F20" s="159" t="s">
        <v>367</v>
      </c>
      <c r="G20" s="159" t="s">
        <v>365</v>
      </c>
      <c r="H20" s="157" t="s">
        <v>417</v>
      </c>
      <c r="I20" s="157" t="s">
        <v>32</v>
      </c>
      <c r="J20" s="165"/>
      <c r="K20" s="157"/>
      <c r="L20" s="150"/>
      <c r="M20" s="150"/>
      <c r="N20" s="150"/>
      <c r="O20" s="150"/>
      <c r="P20" s="150"/>
      <c r="Q20" s="150"/>
      <c r="R20" s="150"/>
      <c r="S20" s="150"/>
      <c r="T20" s="150"/>
      <c r="U20" s="150"/>
      <c r="V20" s="150"/>
      <c r="W20" s="150"/>
      <c r="X20" s="150"/>
      <c r="Y20" s="150"/>
      <c r="Z20" s="150"/>
    </row>
    <row r="21" spans="1:26" s="151" customFormat="1" ht="98.4" customHeight="1" x14ac:dyDescent="0.25">
      <c r="A21" s="152" t="str">
        <f t="shared" si="0"/>
        <v>Quản lí giỏ hàng-13</v>
      </c>
      <c r="B21" s="157"/>
      <c r="C21" s="157"/>
      <c r="D21" s="157" t="s">
        <v>353</v>
      </c>
      <c r="E21" s="148" t="s">
        <v>652</v>
      </c>
      <c r="F21" s="159" t="s">
        <v>369</v>
      </c>
      <c r="G21" s="157" t="s">
        <v>643</v>
      </c>
      <c r="H21" s="157" t="s">
        <v>644</v>
      </c>
      <c r="I21" s="157" t="s">
        <v>32</v>
      </c>
      <c r="J21" s="165"/>
      <c r="K21" s="157"/>
      <c r="L21" s="150"/>
      <c r="M21" s="150"/>
      <c r="N21" s="150"/>
      <c r="O21" s="150"/>
      <c r="P21" s="150"/>
      <c r="Q21" s="150"/>
      <c r="R21" s="150"/>
      <c r="S21" s="150"/>
      <c r="T21" s="150"/>
      <c r="U21" s="150"/>
      <c r="V21" s="150"/>
      <c r="W21" s="150"/>
      <c r="X21" s="150"/>
      <c r="Y21" s="150"/>
      <c r="Z21" s="150"/>
    </row>
    <row r="22" spans="1:26" s="151" customFormat="1" ht="104.4" customHeight="1" x14ac:dyDescent="0.25">
      <c r="A22" s="152" t="str">
        <f t="shared" si="0"/>
        <v>Quản lí giỏ hàng-14</v>
      </c>
      <c r="B22" s="163"/>
      <c r="C22" s="179" t="s">
        <v>354</v>
      </c>
      <c r="D22" s="180" t="s">
        <v>141</v>
      </c>
      <c r="E22" s="148" t="s">
        <v>640</v>
      </c>
      <c r="F22" s="157" t="s">
        <v>355</v>
      </c>
      <c r="G22" s="163" t="s">
        <v>242</v>
      </c>
      <c r="H22" s="157" t="s">
        <v>644</v>
      </c>
      <c r="I22" s="163" t="s">
        <v>34</v>
      </c>
      <c r="J22" s="163"/>
      <c r="K22" s="163" t="s">
        <v>406</v>
      </c>
      <c r="L22" s="149"/>
      <c r="M22" s="150"/>
      <c r="N22" s="150"/>
      <c r="O22" s="150"/>
      <c r="P22" s="150"/>
      <c r="Q22" s="150"/>
      <c r="R22" s="150"/>
      <c r="S22" s="150"/>
      <c r="T22" s="150"/>
      <c r="U22" s="150"/>
      <c r="V22" s="150"/>
      <c r="W22" s="150"/>
      <c r="X22" s="150"/>
      <c r="Y22" s="150"/>
      <c r="Z22" s="150"/>
    </row>
    <row r="23" spans="1:26" s="151" customFormat="1" ht="76.8" customHeight="1" x14ac:dyDescent="0.25">
      <c r="A23" s="152" t="str">
        <f t="shared" si="0"/>
        <v>Quản lí giỏ hàng-15</v>
      </c>
      <c r="B23" s="159"/>
      <c r="C23" s="171"/>
      <c r="D23" s="157" t="s">
        <v>142</v>
      </c>
      <c r="E23" s="148" t="s">
        <v>640</v>
      </c>
      <c r="F23" s="157" t="s">
        <v>356</v>
      </c>
      <c r="G23" s="159" t="s">
        <v>243</v>
      </c>
      <c r="H23" s="159" t="s">
        <v>646</v>
      </c>
      <c r="I23" s="159" t="s">
        <v>34</v>
      </c>
      <c r="J23" s="159"/>
      <c r="K23" s="159" t="s">
        <v>407</v>
      </c>
      <c r="L23" s="149"/>
      <c r="M23" s="150"/>
      <c r="N23" s="150"/>
      <c r="O23" s="150"/>
      <c r="P23" s="150"/>
      <c r="Q23" s="150"/>
      <c r="R23" s="150"/>
      <c r="S23" s="150"/>
      <c r="T23" s="150"/>
      <c r="U23" s="150"/>
      <c r="V23" s="150"/>
      <c r="W23" s="150"/>
      <c r="X23" s="150"/>
      <c r="Y23" s="150"/>
      <c r="Z23" s="150"/>
    </row>
    <row r="24" spans="1:26" s="151" customFormat="1" ht="94.2" customHeight="1" x14ac:dyDescent="0.25">
      <c r="A24" s="152" t="str">
        <f t="shared" si="0"/>
        <v>Quản lí giỏ hàng-16</v>
      </c>
      <c r="B24" s="159"/>
      <c r="C24" s="159"/>
      <c r="D24" s="163" t="s">
        <v>143</v>
      </c>
      <c r="E24" s="148" t="s">
        <v>640</v>
      </c>
      <c r="F24" s="157" t="s">
        <v>357</v>
      </c>
      <c r="G24" s="159" t="s">
        <v>244</v>
      </c>
      <c r="H24" s="159" t="s">
        <v>645</v>
      </c>
      <c r="I24" s="159" t="s">
        <v>34</v>
      </c>
      <c r="J24" s="159"/>
      <c r="K24" s="159" t="s">
        <v>408</v>
      </c>
      <c r="L24" s="149"/>
      <c r="M24" s="150"/>
      <c r="N24" s="150"/>
      <c r="O24" s="150"/>
      <c r="P24" s="150"/>
      <c r="Q24" s="150"/>
      <c r="R24" s="150"/>
      <c r="S24" s="150"/>
      <c r="T24" s="150"/>
      <c r="U24" s="150"/>
      <c r="V24" s="150"/>
      <c r="W24" s="150"/>
      <c r="X24" s="150"/>
      <c r="Y24" s="150"/>
      <c r="Z24" s="150"/>
    </row>
    <row r="25" spans="1:26" s="151" customFormat="1" ht="87.6" customHeight="1" x14ac:dyDescent="0.25">
      <c r="A25" s="152" t="str">
        <f t="shared" si="0"/>
        <v>Quản lí giỏ hàng-17</v>
      </c>
      <c r="B25" s="159"/>
      <c r="C25" s="171"/>
      <c r="D25" s="157" t="s">
        <v>144</v>
      </c>
      <c r="E25" s="148" t="s">
        <v>640</v>
      </c>
      <c r="F25" s="157" t="s">
        <v>358</v>
      </c>
      <c r="G25" s="159" t="s">
        <v>245</v>
      </c>
      <c r="H25" s="159" t="s">
        <v>412</v>
      </c>
      <c r="I25" s="159" t="s">
        <v>32</v>
      </c>
      <c r="J25" s="159"/>
      <c r="K25" s="159"/>
      <c r="L25" s="149"/>
      <c r="M25" s="150"/>
      <c r="N25" s="150"/>
      <c r="O25" s="150"/>
      <c r="P25" s="150"/>
      <c r="Q25" s="150"/>
      <c r="R25" s="150"/>
      <c r="S25" s="150"/>
      <c r="T25" s="150"/>
      <c r="U25" s="150"/>
      <c r="V25" s="150"/>
      <c r="W25" s="150"/>
      <c r="X25" s="150"/>
      <c r="Y25" s="150"/>
      <c r="Z25" s="150"/>
    </row>
    <row r="26" spans="1:26" s="151" customFormat="1" ht="81.599999999999994" customHeight="1" x14ac:dyDescent="0.25">
      <c r="A26" s="152" t="str">
        <f t="shared" si="0"/>
        <v>Quản lí giỏ hàng-18</v>
      </c>
      <c r="B26" s="159"/>
      <c r="C26" s="171"/>
      <c r="D26" s="157" t="s">
        <v>145</v>
      </c>
      <c r="E26" s="148" t="s">
        <v>640</v>
      </c>
      <c r="F26" s="157" t="s">
        <v>359</v>
      </c>
      <c r="G26" s="159" t="s">
        <v>246</v>
      </c>
      <c r="H26" s="159" t="s">
        <v>413</v>
      </c>
      <c r="I26" s="159" t="s">
        <v>32</v>
      </c>
      <c r="J26" s="159"/>
      <c r="K26" s="159"/>
      <c r="L26" s="149"/>
      <c r="M26" s="150"/>
      <c r="N26" s="150"/>
      <c r="O26" s="150"/>
      <c r="P26" s="150"/>
      <c r="Q26" s="150"/>
      <c r="R26" s="150"/>
      <c r="S26" s="150"/>
      <c r="T26" s="150"/>
      <c r="U26" s="150"/>
      <c r="V26" s="150"/>
      <c r="W26" s="150"/>
      <c r="X26" s="150"/>
      <c r="Y26" s="150"/>
      <c r="Z26" s="150"/>
    </row>
    <row r="27" spans="1:26" s="151" customFormat="1" ht="80.400000000000006" customHeight="1" x14ac:dyDescent="0.25">
      <c r="A27" s="152" t="str">
        <f t="shared" si="0"/>
        <v>Quản lí giỏ hàng-19</v>
      </c>
      <c r="B27" s="159"/>
      <c r="C27" s="171"/>
      <c r="D27" s="157" t="s">
        <v>146</v>
      </c>
      <c r="E27" s="148" t="s">
        <v>640</v>
      </c>
      <c r="F27" s="157" t="s">
        <v>360</v>
      </c>
      <c r="G27" s="159" t="s">
        <v>247</v>
      </c>
      <c r="H27" s="159" t="s">
        <v>647</v>
      </c>
      <c r="I27" s="159" t="s">
        <v>34</v>
      </c>
      <c r="J27" s="159"/>
      <c r="K27" s="159" t="s">
        <v>409</v>
      </c>
      <c r="L27" s="149"/>
      <c r="M27" s="150"/>
      <c r="N27" s="150"/>
      <c r="O27" s="150"/>
      <c r="P27" s="150"/>
      <c r="Q27" s="150"/>
      <c r="R27" s="150"/>
      <c r="S27" s="150"/>
      <c r="T27" s="150"/>
      <c r="U27" s="150"/>
      <c r="V27" s="150"/>
      <c r="W27" s="150"/>
      <c r="X27" s="150"/>
      <c r="Y27" s="150"/>
      <c r="Z27" s="150"/>
    </row>
    <row r="28" spans="1:26" s="151" customFormat="1" ht="78" customHeight="1" x14ac:dyDescent="0.25">
      <c r="A28" s="152" t="str">
        <f t="shared" si="0"/>
        <v>Quản lí giỏ hàng-20</v>
      </c>
      <c r="B28" s="159"/>
      <c r="C28" s="159"/>
      <c r="D28" s="163" t="s">
        <v>362</v>
      </c>
      <c r="E28" s="148" t="s">
        <v>640</v>
      </c>
      <c r="F28" s="157" t="s">
        <v>361</v>
      </c>
      <c r="G28" s="159" t="s">
        <v>248</v>
      </c>
      <c r="H28" s="159" t="s">
        <v>648</v>
      </c>
      <c r="I28" s="159" t="s">
        <v>32</v>
      </c>
      <c r="J28" s="159"/>
      <c r="K28" s="159"/>
      <c r="L28" s="149"/>
      <c r="M28" s="150"/>
      <c r="N28" s="150"/>
      <c r="O28" s="150"/>
      <c r="P28" s="150"/>
      <c r="Q28" s="150"/>
      <c r="R28" s="150"/>
      <c r="S28" s="150"/>
      <c r="T28" s="150"/>
      <c r="U28" s="150"/>
      <c r="V28" s="150"/>
      <c r="W28" s="150"/>
      <c r="X28" s="150"/>
      <c r="Y28" s="150"/>
      <c r="Z28" s="150"/>
    </row>
    <row r="29" spans="1:26" s="166" customFormat="1" ht="139.19999999999999" customHeight="1" x14ac:dyDescent="0.25">
      <c r="A29" s="152" t="str">
        <f t="shared" si="0"/>
        <v>Quản lí giỏ hàng-21</v>
      </c>
      <c r="B29" s="165"/>
      <c r="C29" s="165"/>
      <c r="D29" s="157" t="s">
        <v>132</v>
      </c>
      <c r="E29" s="148" t="s">
        <v>640</v>
      </c>
      <c r="F29" s="157" t="s">
        <v>251</v>
      </c>
      <c r="G29" s="158" t="s">
        <v>252</v>
      </c>
      <c r="H29" s="157" t="s">
        <v>414</v>
      </c>
      <c r="I29" s="185" t="s">
        <v>32</v>
      </c>
      <c r="J29" s="165"/>
      <c r="K29" s="157"/>
      <c r="L29" s="165"/>
      <c r="M29" s="165"/>
      <c r="N29" s="165"/>
      <c r="O29" s="165"/>
      <c r="P29" s="165"/>
      <c r="Q29" s="165"/>
      <c r="R29" s="165"/>
      <c r="S29" s="165"/>
      <c r="T29" s="165"/>
      <c r="U29" s="165"/>
      <c r="V29" s="165"/>
      <c r="W29" s="165"/>
      <c r="X29" s="165"/>
      <c r="Y29" s="165"/>
      <c r="Z29" s="165"/>
    </row>
    <row r="30" spans="1:26" s="160" customFormat="1" ht="129" customHeight="1" x14ac:dyDescent="0.2">
      <c r="A30" s="152" t="str">
        <f t="shared" si="0"/>
        <v>Quản lí giỏ hàng-22</v>
      </c>
      <c r="B30" s="158"/>
      <c r="C30" s="158" t="s">
        <v>133</v>
      </c>
      <c r="D30" s="157" t="s">
        <v>134</v>
      </c>
      <c r="E30" s="148" t="s">
        <v>640</v>
      </c>
      <c r="F30" s="157" t="s">
        <v>349</v>
      </c>
      <c r="G30" s="157"/>
      <c r="H30" s="157" t="s">
        <v>418</v>
      </c>
      <c r="I30" s="185" t="s">
        <v>32</v>
      </c>
      <c r="J30" s="158"/>
      <c r="K30" s="157"/>
      <c r="L30" s="158"/>
      <c r="M30" s="158"/>
      <c r="N30" s="158"/>
      <c r="O30" s="158"/>
      <c r="P30" s="158"/>
      <c r="Q30" s="158"/>
      <c r="R30" s="158"/>
      <c r="S30" s="158"/>
      <c r="T30" s="158"/>
      <c r="U30" s="158"/>
      <c r="V30" s="158"/>
      <c r="W30" s="158"/>
      <c r="X30" s="158"/>
      <c r="Y30" s="158"/>
      <c r="Z30" s="158"/>
    </row>
    <row r="31" spans="1:26" s="160" customFormat="1" ht="137.4" customHeight="1" x14ac:dyDescent="0.2">
      <c r="A31" s="152" t="str">
        <f t="shared" si="0"/>
        <v>Quản lí giỏ hàng-23</v>
      </c>
      <c r="B31" s="158"/>
      <c r="C31" s="158"/>
      <c r="D31" s="157" t="s">
        <v>135</v>
      </c>
      <c r="E31" s="148" t="s">
        <v>653</v>
      </c>
      <c r="F31" s="157" t="s">
        <v>349</v>
      </c>
      <c r="G31" s="158"/>
      <c r="H31" s="157" t="s">
        <v>419</v>
      </c>
      <c r="I31" s="185" t="s">
        <v>32</v>
      </c>
      <c r="J31" s="158"/>
      <c r="K31" s="157"/>
      <c r="L31" s="158"/>
      <c r="M31" s="158"/>
      <c r="N31" s="158"/>
      <c r="O31" s="158"/>
      <c r="P31" s="158"/>
      <c r="Q31" s="158"/>
      <c r="R31" s="158"/>
      <c r="S31" s="158"/>
      <c r="T31" s="158"/>
      <c r="U31" s="158"/>
      <c r="V31" s="158"/>
      <c r="W31" s="158"/>
      <c r="X31" s="158"/>
      <c r="Y31" s="158"/>
      <c r="Z31" s="158"/>
    </row>
    <row r="32" spans="1:26" s="160" customFormat="1" ht="151.19999999999999" customHeight="1" x14ac:dyDescent="0.2">
      <c r="A32" s="152" t="str">
        <f t="shared" si="0"/>
        <v>Quản lí giỏ hàng-24</v>
      </c>
      <c r="B32" s="158"/>
      <c r="C32" s="158"/>
      <c r="D32" s="157" t="s">
        <v>136</v>
      </c>
      <c r="E32" s="148" t="s">
        <v>654</v>
      </c>
      <c r="F32" s="157" t="s">
        <v>349</v>
      </c>
      <c r="G32" s="158"/>
      <c r="H32" s="157" t="s">
        <v>649</v>
      </c>
      <c r="I32" s="185" t="s">
        <v>32</v>
      </c>
      <c r="J32" s="158"/>
      <c r="K32" s="157"/>
      <c r="L32" s="158"/>
      <c r="M32" s="158"/>
      <c r="N32" s="158"/>
      <c r="O32" s="158"/>
      <c r="P32" s="158"/>
      <c r="Q32" s="158"/>
      <c r="R32" s="158"/>
      <c r="S32" s="158"/>
      <c r="T32" s="158"/>
      <c r="U32" s="158"/>
      <c r="V32" s="158"/>
      <c r="W32" s="158"/>
      <c r="X32" s="158"/>
      <c r="Y32" s="158"/>
      <c r="Z32" s="158"/>
    </row>
    <row r="33" spans="1:26" s="160" customFormat="1" ht="146.4" customHeight="1" x14ac:dyDescent="0.2">
      <c r="A33" s="152" t="str">
        <f t="shared" si="0"/>
        <v>Quản lí giỏ hàng-25</v>
      </c>
      <c r="B33" s="158"/>
      <c r="C33" s="158"/>
      <c r="D33" s="157" t="s">
        <v>410</v>
      </c>
      <c r="E33" s="148" t="s">
        <v>640</v>
      </c>
      <c r="F33" s="157" t="s">
        <v>411</v>
      </c>
      <c r="G33" s="158"/>
      <c r="H33" s="157" t="s">
        <v>420</v>
      </c>
      <c r="I33" s="185" t="s">
        <v>32</v>
      </c>
      <c r="J33" s="158"/>
      <c r="K33" s="157"/>
      <c r="L33" s="158"/>
      <c r="M33" s="158"/>
      <c r="N33" s="158"/>
      <c r="O33" s="158"/>
      <c r="P33" s="158"/>
      <c r="Q33" s="158"/>
      <c r="R33" s="158"/>
      <c r="S33" s="158"/>
      <c r="T33" s="158"/>
      <c r="U33" s="158"/>
      <c r="V33" s="158"/>
      <c r="W33" s="158"/>
      <c r="X33" s="158"/>
      <c r="Y33" s="158"/>
      <c r="Z33" s="158"/>
    </row>
    <row r="34" spans="1:26" s="160" customFormat="1" ht="105.6" customHeight="1" x14ac:dyDescent="0.2">
      <c r="A34" s="152" t="str">
        <f t="shared" si="0"/>
        <v>Quản lí giỏ hàng-26</v>
      </c>
      <c r="B34" s="158"/>
      <c r="C34" s="158" t="s">
        <v>137</v>
      </c>
      <c r="D34" s="157" t="s">
        <v>138</v>
      </c>
      <c r="E34" s="148" t="s">
        <v>655</v>
      </c>
      <c r="F34" s="157" t="s">
        <v>253</v>
      </c>
      <c r="G34" s="158"/>
      <c r="H34" s="157" t="s">
        <v>339</v>
      </c>
      <c r="I34" s="185" t="s">
        <v>32</v>
      </c>
      <c r="J34" s="158"/>
      <c r="K34" s="157"/>
      <c r="L34" s="158"/>
      <c r="M34" s="158"/>
      <c r="N34" s="158"/>
      <c r="O34" s="158"/>
      <c r="P34" s="158"/>
      <c r="Q34" s="158"/>
      <c r="R34" s="158"/>
      <c r="S34" s="158"/>
      <c r="T34" s="158"/>
      <c r="U34" s="158"/>
      <c r="V34" s="158"/>
      <c r="W34" s="158"/>
      <c r="X34" s="158"/>
      <c r="Y34" s="158"/>
      <c r="Z34" s="158"/>
    </row>
    <row r="35" spans="1:26" ht="12.75" customHeight="1" x14ac:dyDescent="0.25">
      <c r="A35" s="133"/>
      <c r="B35" s="8"/>
      <c r="C35" s="8"/>
      <c r="D35" s="8"/>
      <c r="E35" s="8"/>
      <c r="F35" s="8"/>
      <c r="G35" s="8"/>
      <c r="H35" s="8"/>
      <c r="I35" s="8"/>
      <c r="J35" s="8"/>
      <c r="K35" s="8"/>
      <c r="L35" s="94"/>
      <c r="M35" s="8"/>
      <c r="N35" s="8"/>
      <c r="O35" s="8"/>
      <c r="P35" s="8"/>
      <c r="Q35" s="8"/>
      <c r="R35" s="8"/>
      <c r="S35" s="8"/>
      <c r="T35" s="8"/>
      <c r="U35" s="8"/>
      <c r="V35" s="8"/>
      <c r="W35" s="8"/>
      <c r="X35" s="8"/>
      <c r="Y35" s="8"/>
      <c r="Z35" s="8"/>
    </row>
    <row r="36" spans="1:26" ht="12.75" customHeight="1" x14ac:dyDescent="0.25">
      <c r="A36" s="133"/>
      <c r="B36" s="8"/>
      <c r="C36" s="8"/>
      <c r="D36" s="8"/>
      <c r="E36" s="8"/>
      <c r="F36" s="8"/>
      <c r="G36" s="8"/>
      <c r="H36" s="8"/>
      <c r="I36" s="8"/>
      <c r="J36" s="8"/>
      <c r="K36" s="8"/>
      <c r="L36" s="94"/>
      <c r="M36" s="8"/>
      <c r="N36" s="8"/>
      <c r="O36" s="8"/>
      <c r="P36" s="8"/>
      <c r="Q36" s="8"/>
      <c r="R36" s="8"/>
      <c r="S36" s="8"/>
      <c r="T36" s="8"/>
      <c r="U36" s="8"/>
      <c r="V36" s="8"/>
      <c r="W36" s="8"/>
      <c r="X36" s="8"/>
      <c r="Y36" s="8"/>
      <c r="Z36" s="8"/>
    </row>
    <row r="37" spans="1:26" ht="12.75" customHeight="1" x14ac:dyDescent="0.25">
      <c r="A37" s="133"/>
      <c r="B37" s="8"/>
      <c r="C37" s="8"/>
      <c r="D37" s="8"/>
      <c r="E37" s="8"/>
      <c r="F37" s="8"/>
      <c r="G37" s="8"/>
      <c r="H37" s="8"/>
      <c r="I37" s="8"/>
      <c r="J37" s="8"/>
      <c r="K37" s="8"/>
      <c r="L37" s="94"/>
      <c r="M37" s="8"/>
      <c r="N37" s="8"/>
      <c r="O37" s="8"/>
      <c r="P37" s="8"/>
      <c r="Q37" s="8"/>
      <c r="R37" s="8"/>
      <c r="S37" s="8"/>
      <c r="T37" s="8"/>
      <c r="U37" s="8"/>
      <c r="V37" s="8"/>
      <c r="W37" s="8"/>
      <c r="X37" s="8"/>
      <c r="Y37" s="8"/>
      <c r="Z37" s="8"/>
    </row>
    <row r="38" spans="1:26" ht="12.75" customHeight="1" x14ac:dyDescent="0.25">
      <c r="A38" s="133"/>
      <c r="B38" s="8"/>
      <c r="C38" s="8"/>
      <c r="D38" s="8"/>
      <c r="E38" s="8"/>
      <c r="F38" s="8"/>
      <c r="G38" s="8"/>
      <c r="H38" s="8"/>
      <c r="I38" s="8"/>
      <c r="J38" s="8"/>
      <c r="K38" s="8"/>
      <c r="L38" s="94"/>
      <c r="M38" s="8"/>
      <c r="N38" s="8"/>
      <c r="O38" s="8"/>
      <c r="P38" s="8"/>
      <c r="Q38" s="8"/>
      <c r="R38" s="8"/>
      <c r="S38" s="8"/>
      <c r="T38" s="8"/>
      <c r="U38" s="8"/>
      <c r="V38" s="8"/>
      <c r="W38" s="8"/>
      <c r="X38" s="8"/>
      <c r="Y38" s="8"/>
      <c r="Z38" s="8"/>
    </row>
    <row r="39" spans="1:26" ht="12.75" customHeight="1" x14ac:dyDescent="0.25">
      <c r="A39" s="133"/>
      <c r="B39" s="8"/>
      <c r="C39" s="8"/>
      <c r="D39" s="8"/>
      <c r="E39" s="8"/>
      <c r="F39" s="8"/>
      <c r="G39" s="8"/>
      <c r="H39" s="8"/>
      <c r="I39" s="8"/>
      <c r="J39" s="8"/>
      <c r="K39" s="8"/>
      <c r="L39" s="94"/>
      <c r="M39" s="8"/>
      <c r="N39" s="8"/>
      <c r="O39" s="8"/>
      <c r="P39" s="8"/>
      <c r="Q39" s="8"/>
      <c r="R39" s="8"/>
      <c r="S39" s="8"/>
      <c r="T39" s="8"/>
      <c r="U39" s="8"/>
      <c r="V39" s="8"/>
      <c r="W39" s="8"/>
      <c r="X39" s="8"/>
      <c r="Y39" s="8"/>
      <c r="Z39" s="8"/>
    </row>
    <row r="40" spans="1:26" ht="12.75" customHeight="1" x14ac:dyDescent="0.25">
      <c r="A40" s="133"/>
      <c r="B40" s="8"/>
      <c r="C40" s="8"/>
      <c r="D40" s="8"/>
      <c r="E40" s="8"/>
      <c r="F40" s="8"/>
      <c r="G40" s="8"/>
      <c r="H40" s="8"/>
      <c r="I40" s="8"/>
      <c r="J40" s="8"/>
      <c r="K40" s="8"/>
      <c r="L40" s="94"/>
      <c r="M40" s="8"/>
      <c r="N40" s="8"/>
      <c r="O40" s="8"/>
      <c r="P40" s="8"/>
      <c r="Q40" s="8"/>
      <c r="R40" s="8"/>
      <c r="S40" s="8"/>
      <c r="T40" s="8"/>
      <c r="U40" s="8"/>
      <c r="V40" s="8"/>
      <c r="W40" s="8"/>
      <c r="X40" s="8"/>
      <c r="Y40" s="8"/>
      <c r="Z40" s="8"/>
    </row>
    <row r="41" spans="1:26" ht="12.75" customHeight="1" x14ac:dyDescent="0.25">
      <c r="A41" s="133"/>
      <c r="B41" s="8"/>
      <c r="C41" s="8"/>
      <c r="D41" s="8"/>
      <c r="E41" s="8"/>
      <c r="F41" s="8"/>
      <c r="G41" s="8"/>
      <c r="H41" s="8"/>
      <c r="I41" s="8"/>
      <c r="J41" s="8"/>
      <c r="K41" s="8"/>
      <c r="L41" s="94"/>
      <c r="M41" s="8"/>
      <c r="N41" s="8"/>
      <c r="O41" s="8"/>
      <c r="P41" s="8"/>
      <c r="Q41" s="8"/>
      <c r="R41" s="8"/>
      <c r="S41" s="8"/>
      <c r="T41" s="8"/>
      <c r="U41" s="8"/>
      <c r="V41" s="8"/>
      <c r="W41" s="8"/>
      <c r="X41" s="8"/>
      <c r="Y41" s="8"/>
      <c r="Z41" s="8"/>
    </row>
    <row r="42" spans="1:26" ht="12.75" customHeight="1" x14ac:dyDescent="0.25">
      <c r="A42" s="133"/>
      <c r="B42" s="8"/>
      <c r="C42" s="8"/>
      <c r="D42" s="8"/>
      <c r="E42" s="8"/>
      <c r="F42" s="8"/>
      <c r="G42" s="8"/>
      <c r="H42" s="8"/>
      <c r="I42" s="8"/>
      <c r="J42" s="8"/>
      <c r="K42" s="8"/>
      <c r="L42" s="94"/>
      <c r="M42" s="8"/>
      <c r="N42" s="8"/>
      <c r="O42" s="8"/>
      <c r="P42" s="8"/>
      <c r="Q42" s="8"/>
      <c r="R42" s="8"/>
      <c r="S42" s="8"/>
      <c r="T42" s="8"/>
      <c r="U42" s="8"/>
      <c r="V42" s="8"/>
      <c r="W42" s="8"/>
      <c r="X42" s="8"/>
      <c r="Y42" s="8"/>
      <c r="Z42" s="8"/>
    </row>
    <row r="43" spans="1:26" ht="12.75" customHeight="1" x14ac:dyDescent="0.25">
      <c r="A43" s="133"/>
      <c r="B43" s="8"/>
      <c r="C43" s="8"/>
      <c r="D43" s="8"/>
      <c r="E43" s="8"/>
      <c r="F43" s="8"/>
      <c r="G43" s="8"/>
      <c r="H43" s="8"/>
      <c r="I43" s="8"/>
      <c r="J43" s="8"/>
      <c r="K43" s="8"/>
      <c r="L43" s="94"/>
      <c r="M43" s="8"/>
      <c r="N43" s="8"/>
      <c r="O43" s="8"/>
      <c r="P43" s="8"/>
      <c r="Q43" s="8"/>
      <c r="R43" s="8"/>
      <c r="S43" s="8"/>
      <c r="T43" s="8"/>
      <c r="U43" s="8"/>
      <c r="V43" s="8"/>
      <c r="W43" s="8"/>
      <c r="X43" s="8"/>
      <c r="Y43" s="8"/>
      <c r="Z43" s="8"/>
    </row>
    <row r="44" spans="1:26" ht="12.75" customHeight="1" x14ac:dyDescent="0.25">
      <c r="A44" s="133"/>
      <c r="B44" s="8"/>
      <c r="C44" s="8"/>
      <c r="D44" s="8"/>
      <c r="E44" s="8"/>
      <c r="F44" s="8"/>
      <c r="G44" s="8"/>
      <c r="H44" s="8"/>
      <c r="I44" s="8"/>
      <c r="J44" s="8"/>
      <c r="K44" s="8"/>
      <c r="L44" s="94"/>
      <c r="M44" s="8"/>
      <c r="N44" s="8"/>
      <c r="O44" s="8"/>
      <c r="P44" s="8"/>
      <c r="Q44" s="8"/>
      <c r="R44" s="8"/>
      <c r="S44" s="8"/>
      <c r="T44" s="8"/>
      <c r="U44" s="8"/>
      <c r="V44" s="8"/>
      <c r="W44" s="8"/>
      <c r="X44" s="8"/>
      <c r="Y44" s="8"/>
      <c r="Z44" s="8"/>
    </row>
    <row r="45" spans="1:26" ht="12.75" customHeight="1" x14ac:dyDescent="0.25">
      <c r="A45" s="133"/>
      <c r="B45" s="8"/>
      <c r="C45" s="8"/>
      <c r="D45" s="8"/>
      <c r="E45" s="8"/>
      <c r="F45" s="8"/>
      <c r="G45" s="8"/>
      <c r="H45" s="8"/>
      <c r="I45" s="8"/>
      <c r="J45" s="8"/>
      <c r="K45" s="8"/>
      <c r="L45" s="94"/>
      <c r="M45" s="8"/>
      <c r="N45" s="8"/>
      <c r="O45" s="8"/>
      <c r="P45" s="8"/>
      <c r="Q45" s="8"/>
      <c r="R45" s="8"/>
      <c r="S45" s="8"/>
      <c r="T45" s="8"/>
      <c r="U45" s="8"/>
      <c r="V45" s="8"/>
      <c r="W45" s="8"/>
      <c r="X45" s="8"/>
      <c r="Y45" s="8"/>
      <c r="Z45" s="8"/>
    </row>
    <row r="46" spans="1:26" ht="12.75" customHeight="1" x14ac:dyDescent="0.25">
      <c r="A46" s="133"/>
      <c r="B46" s="8"/>
      <c r="C46" s="8"/>
      <c r="D46" s="8"/>
      <c r="E46" s="8"/>
      <c r="F46" s="8"/>
      <c r="G46" s="8"/>
      <c r="H46" s="8"/>
      <c r="I46" s="8"/>
      <c r="J46" s="8"/>
      <c r="K46" s="8"/>
      <c r="L46" s="94"/>
      <c r="M46" s="8"/>
      <c r="N46" s="8"/>
      <c r="O46" s="8"/>
      <c r="P46" s="8"/>
      <c r="Q46" s="8"/>
      <c r="R46" s="8"/>
      <c r="S46" s="8"/>
      <c r="T46" s="8"/>
      <c r="U46" s="8"/>
      <c r="V46" s="8"/>
      <c r="W46" s="8"/>
      <c r="X46" s="8"/>
      <c r="Y46" s="8"/>
      <c r="Z46" s="8"/>
    </row>
    <row r="47" spans="1:26" ht="12.75" customHeight="1" x14ac:dyDescent="0.25">
      <c r="A47" s="133"/>
      <c r="B47" s="8"/>
      <c r="C47" s="8"/>
      <c r="D47" s="8"/>
      <c r="E47" s="8"/>
      <c r="F47" s="8"/>
      <c r="G47" s="8"/>
      <c r="H47" s="8"/>
      <c r="I47" s="8"/>
      <c r="J47" s="8"/>
      <c r="K47" s="8"/>
      <c r="L47" s="94"/>
      <c r="M47" s="8"/>
      <c r="N47" s="8"/>
      <c r="O47" s="8"/>
      <c r="P47" s="8"/>
      <c r="Q47" s="8"/>
      <c r="R47" s="8"/>
      <c r="S47" s="8"/>
      <c r="T47" s="8"/>
      <c r="U47" s="8"/>
      <c r="V47" s="8"/>
      <c r="W47" s="8"/>
      <c r="X47" s="8"/>
      <c r="Y47" s="8"/>
      <c r="Z47" s="8"/>
    </row>
    <row r="48" spans="1:26" ht="12.75" customHeight="1" x14ac:dyDescent="0.25">
      <c r="A48" s="133"/>
      <c r="B48" s="8"/>
      <c r="C48" s="8"/>
      <c r="D48" s="8"/>
      <c r="E48" s="8"/>
      <c r="F48" s="8"/>
      <c r="G48" s="8"/>
      <c r="H48" s="8"/>
      <c r="I48" s="8"/>
      <c r="J48" s="8"/>
      <c r="K48" s="8"/>
      <c r="L48" s="94"/>
      <c r="M48" s="8"/>
      <c r="N48" s="8"/>
      <c r="O48" s="8"/>
      <c r="P48" s="8"/>
      <c r="Q48" s="8"/>
      <c r="R48" s="8"/>
      <c r="S48" s="8"/>
      <c r="T48" s="8"/>
      <c r="U48" s="8"/>
      <c r="V48" s="8"/>
      <c r="W48" s="8"/>
      <c r="X48" s="8"/>
      <c r="Y48" s="8"/>
      <c r="Z48" s="8"/>
    </row>
    <row r="49" spans="1:26" ht="12.75" customHeight="1" x14ac:dyDescent="0.25">
      <c r="A49" s="133"/>
      <c r="B49" s="8"/>
      <c r="C49" s="8"/>
      <c r="D49" s="8"/>
      <c r="E49" s="8"/>
      <c r="F49" s="8"/>
      <c r="G49" s="8"/>
      <c r="H49" s="8"/>
      <c r="I49" s="8"/>
      <c r="J49" s="8"/>
      <c r="K49" s="8"/>
      <c r="L49" s="94"/>
      <c r="M49" s="8"/>
      <c r="N49" s="8"/>
      <c r="O49" s="8"/>
      <c r="P49" s="8"/>
      <c r="Q49" s="8"/>
      <c r="R49" s="8"/>
      <c r="S49" s="8"/>
      <c r="T49" s="8"/>
      <c r="U49" s="8"/>
      <c r="V49" s="8"/>
      <c r="W49" s="8"/>
      <c r="X49" s="8"/>
      <c r="Y49" s="8"/>
      <c r="Z49" s="8"/>
    </row>
    <row r="50" spans="1:26" ht="12.75" customHeight="1" x14ac:dyDescent="0.25">
      <c r="A50" s="133"/>
      <c r="B50" s="8"/>
      <c r="C50" s="8"/>
      <c r="D50" s="8"/>
      <c r="E50" s="8"/>
      <c r="F50" s="8"/>
      <c r="G50" s="8"/>
      <c r="H50" s="8"/>
      <c r="I50" s="8"/>
      <c r="J50" s="8"/>
      <c r="K50" s="8"/>
      <c r="L50" s="94"/>
      <c r="M50" s="8"/>
      <c r="N50" s="8"/>
      <c r="O50" s="8"/>
      <c r="P50" s="8"/>
      <c r="Q50" s="8"/>
      <c r="R50" s="8"/>
      <c r="S50" s="8"/>
      <c r="T50" s="8"/>
      <c r="U50" s="8"/>
      <c r="V50" s="8"/>
      <c r="W50" s="8"/>
      <c r="X50" s="8"/>
      <c r="Y50" s="8"/>
      <c r="Z50" s="8"/>
    </row>
    <row r="51" spans="1:26" ht="12.75" customHeight="1" x14ac:dyDescent="0.25">
      <c r="A51" s="133"/>
      <c r="B51" s="8"/>
      <c r="C51" s="8"/>
      <c r="D51" s="8"/>
      <c r="E51" s="8"/>
      <c r="F51" s="8"/>
      <c r="G51" s="8"/>
      <c r="H51" s="8"/>
      <c r="I51" s="8"/>
      <c r="J51" s="8"/>
      <c r="K51" s="8"/>
      <c r="L51" s="94"/>
      <c r="M51" s="8"/>
      <c r="N51" s="8"/>
      <c r="O51" s="8"/>
      <c r="P51" s="8"/>
      <c r="Q51" s="8"/>
      <c r="R51" s="8"/>
      <c r="S51" s="8"/>
      <c r="T51" s="8"/>
      <c r="U51" s="8"/>
      <c r="V51" s="8"/>
      <c r="W51" s="8"/>
      <c r="X51" s="8"/>
      <c r="Y51" s="8"/>
      <c r="Z51" s="8"/>
    </row>
    <row r="52" spans="1:26" ht="12.75" customHeight="1" x14ac:dyDescent="0.25">
      <c r="A52" s="133"/>
      <c r="B52" s="8"/>
      <c r="C52" s="8"/>
      <c r="D52" s="8"/>
      <c r="E52" s="8"/>
      <c r="F52" s="8"/>
      <c r="G52" s="8"/>
      <c r="H52" s="8"/>
      <c r="I52" s="8"/>
      <c r="J52" s="8"/>
      <c r="K52" s="8"/>
      <c r="L52" s="94"/>
      <c r="M52" s="8"/>
      <c r="N52" s="8"/>
      <c r="O52" s="8"/>
      <c r="P52" s="8"/>
      <c r="Q52" s="8"/>
      <c r="R52" s="8"/>
      <c r="S52" s="8"/>
      <c r="T52" s="8"/>
      <c r="U52" s="8"/>
      <c r="V52" s="8"/>
      <c r="W52" s="8"/>
      <c r="X52" s="8"/>
      <c r="Y52" s="8"/>
      <c r="Z52" s="8"/>
    </row>
    <row r="53" spans="1:26" ht="12.75" customHeight="1" x14ac:dyDescent="0.25">
      <c r="A53" s="133"/>
      <c r="B53" s="8"/>
      <c r="C53" s="8"/>
      <c r="D53" s="8"/>
      <c r="E53" s="8"/>
      <c r="F53" s="8"/>
      <c r="G53" s="8"/>
      <c r="H53" s="8"/>
      <c r="I53" s="8"/>
      <c r="J53" s="8"/>
      <c r="K53" s="8"/>
      <c r="L53" s="94"/>
      <c r="M53" s="8"/>
      <c r="N53" s="8"/>
      <c r="O53" s="8"/>
      <c r="P53" s="8"/>
      <c r="Q53" s="8"/>
      <c r="R53" s="8"/>
      <c r="S53" s="8"/>
      <c r="T53" s="8"/>
      <c r="U53" s="8"/>
      <c r="V53" s="8"/>
      <c r="W53" s="8"/>
      <c r="X53" s="8"/>
      <c r="Y53" s="8"/>
      <c r="Z53" s="8"/>
    </row>
    <row r="54" spans="1:26" ht="12.75" customHeight="1" x14ac:dyDescent="0.25">
      <c r="A54" s="133"/>
      <c r="B54" s="8"/>
      <c r="C54" s="8"/>
      <c r="D54" s="8"/>
      <c r="E54" s="8"/>
      <c r="F54" s="8"/>
      <c r="G54" s="8"/>
      <c r="H54" s="8"/>
      <c r="I54" s="8"/>
      <c r="J54" s="8"/>
      <c r="K54" s="8"/>
      <c r="L54" s="94"/>
      <c r="M54" s="8"/>
      <c r="N54" s="8"/>
      <c r="O54" s="8"/>
      <c r="P54" s="8"/>
      <c r="Q54" s="8"/>
      <c r="R54" s="8"/>
      <c r="S54" s="8"/>
      <c r="T54" s="8"/>
      <c r="U54" s="8"/>
      <c r="V54" s="8"/>
      <c r="W54" s="8"/>
      <c r="X54" s="8"/>
      <c r="Y54" s="8"/>
      <c r="Z54" s="8"/>
    </row>
    <row r="55" spans="1:26" ht="12.75" customHeight="1" x14ac:dyDescent="0.25">
      <c r="A55" s="133"/>
      <c r="B55" s="8"/>
      <c r="C55" s="8"/>
      <c r="D55" s="8"/>
      <c r="E55" s="8"/>
      <c r="F55" s="8"/>
      <c r="G55" s="8"/>
      <c r="H55" s="8"/>
      <c r="I55" s="8"/>
      <c r="J55" s="8"/>
      <c r="K55" s="8"/>
      <c r="L55" s="94"/>
      <c r="M55" s="8"/>
      <c r="N55" s="8"/>
      <c r="O55" s="8"/>
      <c r="P55" s="8"/>
      <c r="Q55" s="8"/>
      <c r="R55" s="8"/>
      <c r="S55" s="8"/>
      <c r="T55" s="8"/>
      <c r="U55" s="8"/>
      <c r="V55" s="8"/>
      <c r="W55" s="8"/>
      <c r="X55" s="8"/>
      <c r="Y55" s="8"/>
      <c r="Z55" s="8"/>
    </row>
    <row r="56" spans="1:26" ht="12.75" customHeight="1" x14ac:dyDescent="0.25">
      <c r="A56" s="133"/>
      <c r="B56" s="8"/>
      <c r="C56" s="8"/>
      <c r="D56" s="8"/>
      <c r="E56" s="8"/>
      <c r="F56" s="8"/>
      <c r="G56" s="8"/>
      <c r="H56" s="8"/>
      <c r="I56" s="8"/>
      <c r="J56" s="8"/>
      <c r="K56" s="8"/>
      <c r="L56" s="94"/>
      <c r="M56" s="8"/>
      <c r="N56" s="8"/>
      <c r="O56" s="8"/>
      <c r="P56" s="8"/>
      <c r="Q56" s="8"/>
      <c r="R56" s="8"/>
      <c r="S56" s="8"/>
      <c r="T56" s="8"/>
      <c r="U56" s="8"/>
      <c r="V56" s="8"/>
      <c r="W56" s="8"/>
      <c r="X56" s="8"/>
      <c r="Y56" s="8"/>
      <c r="Z56" s="8"/>
    </row>
    <row r="57" spans="1:26" ht="12.75" customHeight="1" x14ac:dyDescent="0.25">
      <c r="A57" s="133"/>
      <c r="B57" s="8"/>
      <c r="C57" s="8"/>
      <c r="D57" s="8"/>
      <c r="E57" s="8"/>
      <c r="F57" s="8"/>
      <c r="G57" s="8"/>
      <c r="H57" s="8"/>
      <c r="I57" s="8"/>
      <c r="J57" s="8"/>
      <c r="K57" s="8"/>
      <c r="L57" s="94"/>
      <c r="M57" s="8"/>
      <c r="N57" s="8"/>
      <c r="O57" s="8"/>
      <c r="P57" s="8"/>
      <c r="Q57" s="8"/>
      <c r="R57" s="8"/>
      <c r="S57" s="8"/>
      <c r="T57" s="8"/>
      <c r="U57" s="8"/>
      <c r="V57" s="8"/>
      <c r="W57" s="8"/>
      <c r="X57" s="8"/>
      <c r="Y57" s="8"/>
      <c r="Z57" s="8"/>
    </row>
    <row r="58" spans="1:26" ht="12.75" customHeight="1" x14ac:dyDescent="0.25">
      <c r="A58" s="133"/>
      <c r="B58" s="8"/>
      <c r="C58" s="8"/>
      <c r="D58" s="8"/>
      <c r="E58" s="8"/>
      <c r="F58" s="8"/>
      <c r="G58" s="8"/>
      <c r="H58" s="8"/>
      <c r="I58" s="8"/>
      <c r="J58" s="8"/>
      <c r="K58" s="8"/>
      <c r="L58" s="94"/>
      <c r="M58" s="8"/>
      <c r="N58" s="8"/>
      <c r="O58" s="8"/>
      <c r="P58" s="8"/>
      <c r="Q58" s="8"/>
      <c r="R58" s="8"/>
      <c r="S58" s="8"/>
      <c r="T58" s="8"/>
      <c r="U58" s="8"/>
      <c r="V58" s="8"/>
      <c r="W58" s="8"/>
      <c r="X58" s="8"/>
      <c r="Y58" s="8"/>
      <c r="Z58" s="8"/>
    </row>
    <row r="59" spans="1:26" ht="12.75" customHeight="1" x14ac:dyDescent="0.25">
      <c r="A59" s="133"/>
      <c r="B59" s="8"/>
      <c r="C59" s="8"/>
      <c r="D59" s="8"/>
      <c r="E59" s="8"/>
      <c r="F59" s="8"/>
      <c r="G59" s="8"/>
      <c r="H59" s="8"/>
      <c r="I59" s="8"/>
      <c r="J59" s="8"/>
      <c r="K59" s="8"/>
      <c r="L59" s="94"/>
      <c r="M59" s="8"/>
      <c r="N59" s="8"/>
      <c r="O59" s="8"/>
      <c r="P59" s="8"/>
      <c r="Q59" s="8"/>
      <c r="R59" s="8"/>
      <c r="S59" s="8"/>
      <c r="T59" s="8"/>
      <c r="U59" s="8"/>
      <c r="V59" s="8"/>
      <c r="W59" s="8"/>
      <c r="X59" s="8"/>
      <c r="Y59" s="8"/>
      <c r="Z59" s="8"/>
    </row>
    <row r="60" spans="1:26" ht="12.75" customHeight="1" x14ac:dyDescent="0.25">
      <c r="A60" s="133"/>
      <c r="B60" s="8"/>
      <c r="C60" s="8"/>
      <c r="D60" s="8"/>
      <c r="E60" s="8"/>
      <c r="F60" s="8"/>
      <c r="G60" s="8"/>
      <c r="H60" s="8"/>
      <c r="I60" s="8"/>
      <c r="J60" s="8"/>
      <c r="K60" s="8"/>
      <c r="L60" s="94"/>
      <c r="M60" s="8"/>
      <c r="N60" s="8"/>
      <c r="O60" s="8"/>
      <c r="P60" s="8"/>
      <c r="Q60" s="8"/>
      <c r="R60" s="8"/>
      <c r="S60" s="8"/>
      <c r="T60" s="8"/>
      <c r="U60" s="8"/>
      <c r="V60" s="8"/>
      <c r="W60" s="8"/>
      <c r="X60" s="8"/>
      <c r="Y60" s="8"/>
      <c r="Z60" s="8"/>
    </row>
    <row r="61" spans="1:26" ht="12.75" customHeight="1" x14ac:dyDescent="0.25">
      <c r="A61" s="133"/>
      <c r="B61" s="8"/>
      <c r="C61" s="8"/>
      <c r="D61" s="8"/>
      <c r="E61" s="8"/>
      <c r="F61" s="8"/>
      <c r="G61" s="8"/>
      <c r="H61" s="8"/>
      <c r="I61" s="8"/>
      <c r="J61" s="8"/>
      <c r="K61" s="8"/>
      <c r="L61" s="94"/>
      <c r="M61" s="8"/>
      <c r="N61" s="8"/>
      <c r="O61" s="8"/>
      <c r="P61" s="8"/>
      <c r="Q61" s="8"/>
      <c r="R61" s="8"/>
      <c r="S61" s="8"/>
      <c r="T61" s="8"/>
      <c r="U61" s="8"/>
      <c r="V61" s="8"/>
      <c r="W61" s="8"/>
      <c r="X61" s="8"/>
      <c r="Y61" s="8"/>
      <c r="Z61" s="8"/>
    </row>
    <row r="62" spans="1:26" ht="12.75" customHeight="1" x14ac:dyDescent="0.25">
      <c r="A62" s="133"/>
      <c r="B62" s="8"/>
      <c r="C62" s="8"/>
      <c r="D62" s="8"/>
      <c r="E62" s="8"/>
      <c r="F62" s="8"/>
      <c r="G62" s="8"/>
      <c r="H62" s="8"/>
      <c r="I62" s="8"/>
      <c r="J62" s="8"/>
      <c r="K62" s="8"/>
      <c r="L62" s="94"/>
      <c r="M62" s="8"/>
      <c r="N62" s="8"/>
      <c r="O62" s="8"/>
      <c r="P62" s="8"/>
      <c r="Q62" s="8"/>
      <c r="R62" s="8"/>
      <c r="S62" s="8"/>
      <c r="T62" s="8"/>
      <c r="U62" s="8"/>
      <c r="V62" s="8"/>
      <c r="W62" s="8"/>
      <c r="X62" s="8"/>
      <c r="Y62" s="8"/>
      <c r="Z62" s="8"/>
    </row>
    <row r="63" spans="1:26" ht="12.75" customHeight="1" x14ac:dyDescent="0.25">
      <c r="A63" s="133"/>
      <c r="B63" s="8"/>
      <c r="C63" s="8"/>
      <c r="D63" s="8"/>
      <c r="E63" s="8"/>
      <c r="F63" s="8"/>
      <c r="G63" s="8"/>
      <c r="H63" s="8"/>
      <c r="I63" s="8"/>
      <c r="J63" s="8"/>
      <c r="K63" s="8"/>
      <c r="L63" s="94"/>
      <c r="M63" s="8"/>
      <c r="N63" s="8"/>
      <c r="O63" s="8"/>
      <c r="P63" s="8"/>
      <c r="Q63" s="8"/>
      <c r="R63" s="8"/>
      <c r="S63" s="8"/>
      <c r="T63" s="8"/>
      <c r="U63" s="8"/>
      <c r="V63" s="8"/>
      <c r="W63" s="8"/>
      <c r="X63" s="8"/>
      <c r="Y63" s="8"/>
      <c r="Z63" s="8"/>
    </row>
    <row r="64" spans="1:26" ht="12.75" customHeight="1" x14ac:dyDescent="0.25">
      <c r="A64" s="133"/>
      <c r="B64" s="8"/>
      <c r="C64" s="8"/>
      <c r="D64" s="8"/>
      <c r="E64" s="8"/>
      <c r="F64" s="8"/>
      <c r="G64" s="8"/>
      <c r="H64" s="8"/>
      <c r="I64" s="8"/>
      <c r="J64" s="8"/>
      <c r="K64" s="8"/>
      <c r="L64" s="94"/>
      <c r="M64" s="8"/>
      <c r="N64" s="8"/>
      <c r="O64" s="8"/>
      <c r="P64" s="8"/>
      <c r="Q64" s="8"/>
      <c r="R64" s="8"/>
      <c r="S64" s="8"/>
      <c r="T64" s="8"/>
      <c r="U64" s="8"/>
      <c r="V64" s="8"/>
      <c r="W64" s="8"/>
      <c r="X64" s="8"/>
      <c r="Y64" s="8"/>
      <c r="Z64" s="8"/>
    </row>
    <row r="65" spans="1:26" ht="12.75" customHeight="1" x14ac:dyDescent="0.25">
      <c r="A65" s="133"/>
      <c r="B65" s="8"/>
      <c r="C65" s="8"/>
      <c r="D65" s="8"/>
      <c r="E65" s="8"/>
      <c r="F65" s="8"/>
      <c r="G65" s="8"/>
      <c r="H65" s="8"/>
      <c r="I65" s="8"/>
      <c r="J65" s="8"/>
      <c r="K65" s="8"/>
      <c r="L65" s="94"/>
      <c r="M65" s="8"/>
      <c r="N65" s="8"/>
      <c r="O65" s="8"/>
      <c r="P65" s="8"/>
      <c r="Q65" s="8"/>
      <c r="R65" s="8"/>
      <c r="S65" s="8"/>
      <c r="T65" s="8"/>
      <c r="U65" s="8"/>
      <c r="V65" s="8"/>
      <c r="W65" s="8"/>
      <c r="X65" s="8"/>
      <c r="Y65" s="8"/>
      <c r="Z65" s="8"/>
    </row>
    <row r="66" spans="1:26" ht="12.75" customHeight="1" x14ac:dyDescent="0.25">
      <c r="A66" s="133"/>
      <c r="B66" s="8"/>
      <c r="C66" s="8"/>
      <c r="D66" s="8"/>
      <c r="E66" s="8"/>
      <c r="F66" s="8"/>
      <c r="G66" s="8"/>
      <c r="H66" s="8"/>
      <c r="I66" s="8"/>
      <c r="J66" s="8"/>
      <c r="K66" s="8"/>
      <c r="L66" s="94"/>
      <c r="M66" s="8"/>
      <c r="N66" s="8"/>
      <c r="O66" s="8"/>
      <c r="P66" s="8"/>
      <c r="Q66" s="8"/>
      <c r="R66" s="8"/>
      <c r="S66" s="8"/>
      <c r="T66" s="8"/>
      <c r="U66" s="8"/>
      <c r="V66" s="8"/>
      <c r="W66" s="8"/>
      <c r="X66" s="8"/>
      <c r="Y66" s="8"/>
      <c r="Z66" s="8"/>
    </row>
    <row r="67" spans="1:26" ht="12.75" customHeight="1" x14ac:dyDescent="0.25">
      <c r="A67" s="133"/>
      <c r="B67" s="8"/>
      <c r="C67" s="8"/>
      <c r="D67" s="8"/>
      <c r="E67" s="8"/>
      <c r="F67" s="8"/>
      <c r="G67" s="8"/>
      <c r="H67" s="8"/>
      <c r="I67" s="8"/>
      <c r="J67" s="8"/>
      <c r="K67" s="8"/>
      <c r="L67" s="94"/>
      <c r="M67" s="8"/>
      <c r="N67" s="8"/>
      <c r="O67" s="8"/>
      <c r="P67" s="8"/>
      <c r="Q67" s="8"/>
      <c r="R67" s="8"/>
      <c r="S67" s="8"/>
      <c r="T67" s="8"/>
      <c r="U67" s="8"/>
      <c r="V67" s="8"/>
      <c r="W67" s="8"/>
      <c r="X67" s="8"/>
      <c r="Y67" s="8"/>
      <c r="Z67" s="8"/>
    </row>
    <row r="68" spans="1:26" ht="12.75" customHeight="1" x14ac:dyDescent="0.25">
      <c r="A68" s="133"/>
      <c r="B68" s="8"/>
      <c r="C68" s="8"/>
      <c r="D68" s="8"/>
      <c r="E68" s="8"/>
      <c r="F68" s="8"/>
      <c r="G68" s="8"/>
      <c r="H68" s="8"/>
      <c r="I68" s="8"/>
      <c r="J68" s="8"/>
      <c r="K68" s="8"/>
      <c r="L68" s="94"/>
      <c r="M68" s="8"/>
      <c r="N68" s="8"/>
      <c r="O68" s="8"/>
      <c r="P68" s="8"/>
      <c r="Q68" s="8"/>
      <c r="R68" s="8"/>
      <c r="S68" s="8"/>
      <c r="T68" s="8"/>
      <c r="U68" s="8"/>
      <c r="V68" s="8"/>
      <c r="W68" s="8"/>
      <c r="X68" s="8"/>
      <c r="Y68" s="8"/>
      <c r="Z68" s="8"/>
    </row>
    <row r="69" spans="1:26" ht="12.75" customHeight="1" x14ac:dyDescent="0.25">
      <c r="A69" s="133"/>
      <c r="B69" s="8"/>
      <c r="C69" s="8"/>
      <c r="D69" s="8"/>
      <c r="E69" s="8"/>
      <c r="F69" s="8"/>
      <c r="G69" s="8"/>
      <c r="H69" s="8"/>
      <c r="I69" s="8"/>
      <c r="J69" s="8"/>
      <c r="K69" s="8"/>
      <c r="L69" s="94"/>
      <c r="M69" s="8"/>
      <c r="N69" s="8"/>
      <c r="O69" s="8"/>
      <c r="P69" s="8"/>
      <c r="Q69" s="8"/>
      <c r="R69" s="8"/>
      <c r="S69" s="8"/>
      <c r="T69" s="8"/>
      <c r="U69" s="8"/>
      <c r="V69" s="8"/>
      <c r="W69" s="8"/>
      <c r="X69" s="8"/>
      <c r="Y69" s="8"/>
      <c r="Z69" s="8"/>
    </row>
    <row r="70" spans="1:26" ht="12.75" customHeight="1" x14ac:dyDescent="0.25">
      <c r="A70" s="133"/>
      <c r="B70" s="8"/>
      <c r="C70" s="8"/>
      <c r="D70" s="8"/>
      <c r="E70" s="8"/>
      <c r="F70" s="8"/>
      <c r="G70" s="8"/>
      <c r="H70" s="8"/>
      <c r="I70" s="8"/>
      <c r="J70" s="8"/>
      <c r="K70" s="8"/>
      <c r="L70" s="94"/>
      <c r="M70" s="8"/>
      <c r="N70" s="8"/>
      <c r="O70" s="8"/>
      <c r="P70" s="8"/>
      <c r="Q70" s="8"/>
      <c r="R70" s="8"/>
      <c r="S70" s="8"/>
      <c r="T70" s="8"/>
      <c r="U70" s="8"/>
      <c r="V70" s="8"/>
      <c r="W70" s="8"/>
      <c r="X70" s="8"/>
      <c r="Y70" s="8"/>
      <c r="Z70" s="8"/>
    </row>
    <row r="71" spans="1:26" ht="12.75" customHeight="1" x14ac:dyDescent="0.25">
      <c r="A71" s="133"/>
      <c r="B71" s="8"/>
      <c r="C71" s="8"/>
      <c r="D71" s="8"/>
      <c r="E71" s="8"/>
      <c r="F71" s="8"/>
      <c r="G71" s="8"/>
      <c r="H71" s="8"/>
      <c r="I71" s="8"/>
      <c r="J71" s="8"/>
      <c r="K71" s="8"/>
      <c r="L71" s="94"/>
      <c r="M71" s="8"/>
      <c r="N71" s="8"/>
      <c r="O71" s="8"/>
      <c r="P71" s="8"/>
      <c r="Q71" s="8"/>
      <c r="R71" s="8"/>
      <c r="S71" s="8"/>
      <c r="T71" s="8"/>
      <c r="U71" s="8"/>
      <c r="V71" s="8"/>
      <c r="W71" s="8"/>
      <c r="X71" s="8"/>
      <c r="Y71" s="8"/>
      <c r="Z71" s="8"/>
    </row>
    <row r="72" spans="1:26" ht="12.75" customHeight="1" x14ac:dyDescent="0.25">
      <c r="A72" s="133"/>
      <c r="B72" s="8"/>
      <c r="C72" s="8"/>
      <c r="D72" s="8"/>
      <c r="E72" s="8"/>
      <c r="F72" s="8"/>
      <c r="G72" s="8"/>
      <c r="H72" s="8"/>
      <c r="I72" s="8"/>
      <c r="J72" s="8"/>
      <c r="K72" s="8"/>
      <c r="L72" s="94"/>
      <c r="M72" s="8"/>
      <c r="N72" s="8"/>
      <c r="O72" s="8"/>
      <c r="P72" s="8"/>
      <c r="Q72" s="8"/>
      <c r="R72" s="8"/>
      <c r="S72" s="8"/>
      <c r="T72" s="8"/>
      <c r="U72" s="8"/>
      <c r="V72" s="8"/>
      <c r="W72" s="8"/>
      <c r="X72" s="8"/>
      <c r="Y72" s="8"/>
      <c r="Z72" s="8"/>
    </row>
    <row r="73" spans="1:26" ht="12.75" customHeight="1" x14ac:dyDescent="0.25">
      <c r="A73" s="133"/>
      <c r="B73" s="8"/>
      <c r="C73" s="8"/>
      <c r="D73" s="8"/>
      <c r="E73" s="8"/>
      <c r="F73" s="8"/>
      <c r="G73" s="8"/>
      <c r="H73" s="8"/>
      <c r="I73" s="8"/>
      <c r="J73" s="8"/>
      <c r="K73" s="8"/>
      <c r="L73" s="94"/>
      <c r="M73" s="8"/>
      <c r="N73" s="8"/>
      <c r="O73" s="8"/>
      <c r="P73" s="8"/>
      <c r="Q73" s="8"/>
      <c r="R73" s="8"/>
      <c r="S73" s="8"/>
      <c r="T73" s="8"/>
      <c r="U73" s="8"/>
      <c r="V73" s="8"/>
      <c r="W73" s="8"/>
      <c r="X73" s="8"/>
      <c r="Y73" s="8"/>
      <c r="Z73" s="8"/>
    </row>
    <row r="74" spans="1:26" ht="12.75" customHeight="1" x14ac:dyDescent="0.25">
      <c r="A74" s="133"/>
      <c r="B74" s="8"/>
      <c r="C74" s="8"/>
      <c r="D74" s="8"/>
      <c r="E74" s="8"/>
      <c r="F74" s="8"/>
      <c r="G74" s="8"/>
      <c r="H74" s="8"/>
      <c r="I74" s="8"/>
      <c r="J74" s="8"/>
      <c r="K74" s="8"/>
      <c r="L74" s="94"/>
      <c r="M74" s="8"/>
      <c r="N74" s="8"/>
      <c r="O74" s="8"/>
      <c r="P74" s="8"/>
      <c r="Q74" s="8"/>
      <c r="R74" s="8"/>
      <c r="S74" s="8"/>
      <c r="T74" s="8"/>
      <c r="U74" s="8"/>
      <c r="V74" s="8"/>
      <c r="W74" s="8"/>
      <c r="X74" s="8"/>
      <c r="Y74" s="8"/>
      <c r="Z74" s="8"/>
    </row>
    <row r="75" spans="1:26" ht="12.75" customHeight="1" x14ac:dyDescent="0.25">
      <c r="A75" s="133"/>
      <c r="B75" s="8"/>
      <c r="C75" s="8"/>
      <c r="D75" s="8"/>
      <c r="E75" s="8"/>
      <c r="F75" s="8"/>
      <c r="G75" s="8"/>
      <c r="H75" s="8"/>
      <c r="I75" s="8"/>
      <c r="J75" s="8"/>
      <c r="K75" s="8"/>
      <c r="L75" s="94"/>
      <c r="M75" s="8"/>
      <c r="N75" s="8"/>
      <c r="O75" s="8"/>
      <c r="P75" s="8"/>
      <c r="Q75" s="8"/>
      <c r="R75" s="8"/>
      <c r="S75" s="8"/>
      <c r="T75" s="8"/>
      <c r="U75" s="8"/>
      <c r="V75" s="8"/>
      <c r="W75" s="8"/>
      <c r="X75" s="8"/>
      <c r="Y75" s="8"/>
      <c r="Z75" s="8"/>
    </row>
    <row r="76" spans="1:26" ht="12.75" customHeight="1" x14ac:dyDescent="0.25">
      <c r="A76" s="133"/>
      <c r="B76" s="8"/>
      <c r="C76" s="8"/>
      <c r="D76" s="8"/>
      <c r="E76" s="8"/>
      <c r="F76" s="8"/>
      <c r="G76" s="8"/>
      <c r="H76" s="8"/>
      <c r="I76" s="8"/>
      <c r="J76" s="8"/>
      <c r="K76" s="8"/>
      <c r="L76" s="94"/>
      <c r="M76" s="8"/>
      <c r="N76" s="8"/>
      <c r="O76" s="8"/>
      <c r="P76" s="8"/>
      <c r="Q76" s="8"/>
      <c r="R76" s="8"/>
      <c r="S76" s="8"/>
      <c r="T76" s="8"/>
      <c r="U76" s="8"/>
      <c r="V76" s="8"/>
      <c r="W76" s="8"/>
      <c r="X76" s="8"/>
      <c r="Y76" s="8"/>
      <c r="Z76" s="8"/>
    </row>
    <row r="77" spans="1:26" ht="12.75" customHeight="1" x14ac:dyDescent="0.25">
      <c r="A77" s="133"/>
      <c r="B77" s="8"/>
      <c r="C77" s="8"/>
      <c r="D77" s="8"/>
      <c r="E77" s="8"/>
      <c r="F77" s="8"/>
      <c r="G77" s="8"/>
      <c r="H77" s="8"/>
      <c r="I77" s="8"/>
      <c r="J77" s="8"/>
      <c r="K77" s="8"/>
      <c r="L77" s="94"/>
      <c r="M77" s="8"/>
      <c r="N77" s="8"/>
      <c r="O77" s="8"/>
      <c r="P77" s="8"/>
      <c r="Q77" s="8"/>
      <c r="R77" s="8"/>
      <c r="S77" s="8"/>
      <c r="T77" s="8"/>
      <c r="U77" s="8"/>
      <c r="V77" s="8"/>
      <c r="W77" s="8"/>
      <c r="X77" s="8"/>
      <c r="Y77" s="8"/>
      <c r="Z77" s="8"/>
    </row>
    <row r="78" spans="1:26" ht="12.75" customHeight="1" x14ac:dyDescent="0.25">
      <c r="A78" s="133"/>
      <c r="B78" s="8"/>
      <c r="C78" s="8"/>
      <c r="D78" s="8"/>
      <c r="E78" s="8"/>
      <c r="F78" s="8"/>
      <c r="G78" s="8"/>
      <c r="H78" s="8"/>
      <c r="I78" s="8"/>
      <c r="J78" s="8"/>
      <c r="K78" s="8"/>
      <c r="L78" s="94"/>
      <c r="M78" s="8"/>
      <c r="N78" s="8"/>
      <c r="O78" s="8"/>
      <c r="P78" s="8"/>
      <c r="Q78" s="8"/>
      <c r="R78" s="8"/>
      <c r="S78" s="8"/>
      <c r="T78" s="8"/>
      <c r="U78" s="8"/>
      <c r="V78" s="8"/>
      <c r="W78" s="8"/>
      <c r="X78" s="8"/>
      <c r="Y78" s="8"/>
      <c r="Z78" s="8"/>
    </row>
    <row r="79" spans="1:26" ht="12.75" customHeight="1" x14ac:dyDescent="0.25">
      <c r="A79" s="133"/>
      <c r="B79" s="8"/>
      <c r="C79" s="8"/>
      <c r="D79" s="8"/>
      <c r="E79" s="8"/>
      <c r="F79" s="8"/>
      <c r="G79" s="8"/>
      <c r="H79" s="8"/>
      <c r="I79" s="8"/>
      <c r="J79" s="8"/>
      <c r="K79" s="8"/>
      <c r="L79" s="94"/>
      <c r="M79" s="8"/>
      <c r="N79" s="8"/>
      <c r="O79" s="8"/>
      <c r="P79" s="8"/>
      <c r="Q79" s="8"/>
      <c r="R79" s="8"/>
      <c r="S79" s="8"/>
      <c r="T79" s="8"/>
      <c r="U79" s="8"/>
      <c r="V79" s="8"/>
      <c r="W79" s="8"/>
      <c r="X79" s="8"/>
      <c r="Y79" s="8"/>
      <c r="Z79" s="8"/>
    </row>
    <row r="80" spans="1:26" ht="12.75" customHeight="1" x14ac:dyDescent="0.25">
      <c r="A80" s="133"/>
      <c r="B80" s="8"/>
      <c r="C80" s="8"/>
      <c r="D80" s="8"/>
      <c r="E80" s="8"/>
      <c r="F80" s="8"/>
      <c r="G80" s="8"/>
      <c r="H80" s="8"/>
      <c r="I80" s="8"/>
      <c r="J80" s="8"/>
      <c r="K80" s="8"/>
      <c r="L80" s="94"/>
      <c r="M80" s="8"/>
      <c r="N80" s="8"/>
      <c r="O80" s="8"/>
      <c r="P80" s="8"/>
      <c r="Q80" s="8"/>
      <c r="R80" s="8"/>
      <c r="S80" s="8"/>
      <c r="T80" s="8"/>
      <c r="U80" s="8"/>
      <c r="V80" s="8"/>
      <c r="W80" s="8"/>
      <c r="X80" s="8"/>
      <c r="Y80" s="8"/>
      <c r="Z80" s="8"/>
    </row>
    <row r="81" spans="1:26" ht="12.75" customHeight="1" x14ac:dyDescent="0.25">
      <c r="A81" s="133"/>
      <c r="B81" s="8"/>
      <c r="C81" s="8"/>
      <c r="D81" s="8"/>
      <c r="E81" s="8"/>
      <c r="F81" s="8"/>
      <c r="G81" s="8"/>
      <c r="H81" s="8"/>
      <c r="I81" s="8"/>
      <c r="J81" s="8"/>
      <c r="K81" s="8"/>
      <c r="L81" s="94"/>
      <c r="M81" s="8"/>
      <c r="N81" s="8"/>
      <c r="O81" s="8"/>
      <c r="P81" s="8"/>
      <c r="Q81" s="8"/>
      <c r="R81" s="8"/>
      <c r="S81" s="8"/>
      <c r="T81" s="8"/>
      <c r="U81" s="8"/>
      <c r="V81" s="8"/>
      <c r="W81" s="8"/>
      <c r="X81" s="8"/>
      <c r="Y81" s="8"/>
      <c r="Z81" s="8"/>
    </row>
    <row r="82" spans="1:26" ht="12.75" customHeight="1" x14ac:dyDescent="0.25">
      <c r="A82" s="133"/>
      <c r="B82" s="8"/>
      <c r="C82" s="8"/>
      <c r="D82" s="8"/>
      <c r="E82" s="8"/>
      <c r="F82" s="8"/>
      <c r="G82" s="8"/>
      <c r="H82" s="8"/>
      <c r="I82" s="8"/>
      <c r="J82" s="8"/>
      <c r="K82" s="8"/>
      <c r="L82" s="94"/>
      <c r="M82" s="8"/>
      <c r="N82" s="8"/>
      <c r="O82" s="8"/>
      <c r="P82" s="8"/>
      <c r="Q82" s="8"/>
      <c r="R82" s="8"/>
      <c r="S82" s="8"/>
      <c r="T82" s="8"/>
      <c r="U82" s="8"/>
      <c r="V82" s="8"/>
      <c r="W82" s="8"/>
      <c r="X82" s="8"/>
      <c r="Y82" s="8"/>
      <c r="Z82" s="8"/>
    </row>
    <row r="83" spans="1:26" ht="12.75" customHeight="1" x14ac:dyDescent="0.25">
      <c r="A83" s="133"/>
      <c r="B83" s="8"/>
      <c r="C83" s="8"/>
      <c r="D83" s="8"/>
      <c r="E83" s="8"/>
      <c r="F83" s="8"/>
      <c r="G83" s="8"/>
      <c r="H83" s="8"/>
      <c r="I83" s="8"/>
      <c r="J83" s="8"/>
      <c r="K83" s="8"/>
      <c r="L83" s="94"/>
      <c r="M83" s="8"/>
      <c r="N83" s="8"/>
      <c r="O83" s="8"/>
      <c r="P83" s="8"/>
      <c r="Q83" s="8"/>
      <c r="R83" s="8"/>
      <c r="S83" s="8"/>
      <c r="T83" s="8"/>
      <c r="U83" s="8"/>
      <c r="V83" s="8"/>
      <c r="W83" s="8"/>
      <c r="X83" s="8"/>
      <c r="Y83" s="8"/>
      <c r="Z83" s="8"/>
    </row>
    <row r="84" spans="1:26" ht="12.75" customHeight="1" x14ac:dyDescent="0.25">
      <c r="A84" s="133"/>
      <c r="B84" s="8"/>
      <c r="C84" s="8"/>
      <c r="D84" s="8"/>
      <c r="E84" s="8"/>
      <c r="F84" s="8"/>
      <c r="G84" s="8"/>
      <c r="H84" s="8"/>
      <c r="I84" s="8"/>
      <c r="J84" s="8"/>
      <c r="K84" s="8"/>
      <c r="L84" s="94"/>
      <c r="M84" s="8"/>
      <c r="N84" s="8"/>
      <c r="O84" s="8"/>
      <c r="P84" s="8"/>
      <c r="Q84" s="8"/>
      <c r="R84" s="8"/>
      <c r="S84" s="8"/>
      <c r="T84" s="8"/>
      <c r="U84" s="8"/>
      <c r="V84" s="8"/>
      <c r="W84" s="8"/>
      <c r="X84" s="8"/>
      <c r="Y84" s="8"/>
      <c r="Z84" s="8"/>
    </row>
    <row r="85" spans="1:26" ht="12.75" customHeight="1" x14ac:dyDescent="0.25">
      <c r="A85" s="133"/>
      <c r="B85" s="8"/>
      <c r="C85" s="8"/>
      <c r="D85" s="8"/>
      <c r="E85" s="8"/>
      <c r="F85" s="8"/>
      <c r="G85" s="8"/>
      <c r="H85" s="8"/>
      <c r="I85" s="8"/>
      <c r="J85" s="8"/>
      <c r="K85" s="8"/>
      <c r="L85" s="94"/>
      <c r="M85" s="8"/>
      <c r="N85" s="8"/>
      <c r="O85" s="8"/>
      <c r="P85" s="8"/>
      <c r="Q85" s="8"/>
      <c r="R85" s="8"/>
      <c r="S85" s="8"/>
      <c r="T85" s="8"/>
      <c r="U85" s="8"/>
      <c r="V85" s="8"/>
      <c r="W85" s="8"/>
      <c r="X85" s="8"/>
      <c r="Y85" s="8"/>
      <c r="Z85" s="8"/>
    </row>
    <row r="86" spans="1:26" ht="12.75" customHeight="1" x14ac:dyDescent="0.25">
      <c r="A86" s="133"/>
      <c r="B86" s="8"/>
      <c r="C86" s="8"/>
      <c r="D86" s="8"/>
      <c r="E86" s="8"/>
      <c r="F86" s="8"/>
      <c r="G86" s="8"/>
      <c r="H86" s="8"/>
      <c r="I86" s="8"/>
      <c r="J86" s="8"/>
      <c r="K86" s="8"/>
      <c r="L86" s="94"/>
      <c r="M86" s="8"/>
      <c r="N86" s="8"/>
      <c r="O86" s="8"/>
      <c r="P86" s="8"/>
      <c r="Q86" s="8"/>
      <c r="R86" s="8"/>
      <c r="S86" s="8"/>
      <c r="T86" s="8"/>
      <c r="U86" s="8"/>
      <c r="V86" s="8"/>
      <c r="W86" s="8"/>
      <c r="X86" s="8"/>
      <c r="Y86" s="8"/>
      <c r="Z86" s="8"/>
    </row>
    <row r="87" spans="1:26" ht="12.75" customHeight="1" x14ac:dyDescent="0.25">
      <c r="A87" s="133"/>
      <c r="B87" s="8"/>
      <c r="C87" s="8"/>
      <c r="D87" s="8"/>
      <c r="E87" s="8"/>
      <c r="F87" s="8"/>
      <c r="G87" s="8"/>
      <c r="H87" s="8"/>
      <c r="I87" s="8"/>
      <c r="J87" s="8"/>
      <c r="K87" s="8"/>
      <c r="L87" s="94"/>
      <c r="M87" s="8"/>
      <c r="N87" s="8"/>
      <c r="O87" s="8"/>
      <c r="P87" s="8"/>
      <c r="Q87" s="8"/>
      <c r="R87" s="8"/>
      <c r="S87" s="8"/>
      <c r="T87" s="8"/>
      <c r="U87" s="8"/>
      <c r="V87" s="8"/>
      <c r="W87" s="8"/>
      <c r="X87" s="8"/>
      <c r="Y87" s="8"/>
      <c r="Z87" s="8"/>
    </row>
    <row r="88" spans="1:26" ht="12.75" customHeight="1" x14ac:dyDescent="0.25">
      <c r="A88" s="133"/>
      <c r="B88" s="8"/>
      <c r="C88" s="8"/>
      <c r="D88" s="8"/>
      <c r="E88" s="8"/>
      <c r="F88" s="8"/>
      <c r="G88" s="8"/>
      <c r="H88" s="8"/>
      <c r="I88" s="8"/>
      <c r="J88" s="8"/>
      <c r="K88" s="8"/>
      <c r="L88" s="94"/>
      <c r="M88" s="8"/>
      <c r="N88" s="8"/>
      <c r="O88" s="8"/>
      <c r="P88" s="8"/>
      <c r="Q88" s="8"/>
      <c r="R88" s="8"/>
      <c r="S88" s="8"/>
      <c r="T88" s="8"/>
      <c r="U88" s="8"/>
      <c r="V88" s="8"/>
      <c r="W88" s="8"/>
      <c r="X88" s="8"/>
      <c r="Y88" s="8"/>
      <c r="Z88" s="8"/>
    </row>
    <row r="89" spans="1:26" ht="12.75" customHeight="1" x14ac:dyDescent="0.25">
      <c r="A89" s="133"/>
      <c r="B89" s="8"/>
      <c r="C89" s="8"/>
      <c r="D89" s="8"/>
      <c r="E89" s="8"/>
      <c r="F89" s="8"/>
      <c r="G89" s="8"/>
      <c r="H89" s="8"/>
      <c r="I89" s="8"/>
      <c r="J89" s="8"/>
      <c r="K89" s="8"/>
      <c r="L89" s="94"/>
      <c r="M89" s="8"/>
      <c r="N89" s="8"/>
      <c r="O89" s="8"/>
      <c r="P89" s="8"/>
      <c r="Q89" s="8"/>
      <c r="R89" s="8"/>
      <c r="S89" s="8"/>
      <c r="T89" s="8"/>
      <c r="U89" s="8"/>
      <c r="V89" s="8"/>
      <c r="W89" s="8"/>
      <c r="X89" s="8"/>
      <c r="Y89" s="8"/>
      <c r="Z89" s="8"/>
    </row>
    <row r="90" spans="1:26" ht="12.75" customHeight="1" x14ac:dyDescent="0.25">
      <c r="A90" s="133"/>
      <c r="B90" s="8"/>
      <c r="C90" s="8"/>
      <c r="D90" s="8"/>
      <c r="E90" s="8"/>
      <c r="F90" s="8"/>
      <c r="G90" s="8"/>
      <c r="H90" s="8"/>
      <c r="I90" s="8"/>
      <c r="J90" s="8"/>
      <c r="K90" s="8"/>
      <c r="L90" s="94"/>
      <c r="M90" s="8"/>
      <c r="N90" s="8"/>
      <c r="O90" s="8"/>
      <c r="P90" s="8"/>
      <c r="Q90" s="8"/>
      <c r="R90" s="8"/>
      <c r="S90" s="8"/>
      <c r="T90" s="8"/>
      <c r="U90" s="8"/>
      <c r="V90" s="8"/>
      <c r="W90" s="8"/>
      <c r="X90" s="8"/>
      <c r="Y90" s="8"/>
      <c r="Z90" s="8"/>
    </row>
    <row r="91" spans="1:26" ht="12.75" customHeight="1" x14ac:dyDescent="0.25">
      <c r="A91" s="133"/>
      <c r="B91" s="8"/>
      <c r="C91" s="8"/>
      <c r="D91" s="8"/>
      <c r="E91" s="8"/>
      <c r="F91" s="8"/>
      <c r="G91" s="8"/>
      <c r="H91" s="8"/>
      <c r="I91" s="8"/>
      <c r="J91" s="8"/>
      <c r="K91" s="8"/>
      <c r="L91" s="94"/>
      <c r="M91" s="8"/>
      <c r="N91" s="8"/>
      <c r="O91" s="8"/>
      <c r="P91" s="8"/>
      <c r="Q91" s="8"/>
      <c r="R91" s="8"/>
      <c r="S91" s="8"/>
      <c r="T91" s="8"/>
      <c r="U91" s="8"/>
      <c r="V91" s="8"/>
      <c r="W91" s="8"/>
      <c r="X91" s="8"/>
      <c r="Y91" s="8"/>
      <c r="Z91" s="8"/>
    </row>
    <row r="92" spans="1:26" ht="12.75" customHeight="1" x14ac:dyDescent="0.25">
      <c r="A92" s="133"/>
      <c r="B92" s="8"/>
      <c r="C92" s="8"/>
      <c r="D92" s="8"/>
      <c r="E92" s="8"/>
      <c r="F92" s="8"/>
      <c r="G92" s="8"/>
      <c r="H92" s="8"/>
      <c r="I92" s="8"/>
      <c r="J92" s="8"/>
      <c r="K92" s="8"/>
      <c r="L92" s="94"/>
      <c r="M92" s="8"/>
      <c r="N92" s="8"/>
      <c r="O92" s="8"/>
      <c r="P92" s="8"/>
      <c r="Q92" s="8"/>
      <c r="R92" s="8"/>
      <c r="S92" s="8"/>
      <c r="T92" s="8"/>
      <c r="U92" s="8"/>
      <c r="V92" s="8"/>
      <c r="W92" s="8"/>
      <c r="X92" s="8"/>
      <c r="Y92" s="8"/>
      <c r="Z92" s="8"/>
    </row>
    <row r="93" spans="1:26" ht="12.75" customHeight="1" x14ac:dyDescent="0.25">
      <c r="A93" s="133"/>
      <c r="B93" s="8"/>
      <c r="C93" s="8"/>
      <c r="D93" s="8"/>
      <c r="E93" s="8"/>
      <c r="F93" s="8"/>
      <c r="G93" s="8"/>
      <c r="H93" s="8"/>
      <c r="I93" s="8"/>
      <c r="J93" s="8"/>
      <c r="K93" s="8"/>
      <c r="L93" s="94"/>
      <c r="M93" s="8"/>
      <c r="N93" s="8"/>
      <c r="O93" s="8"/>
      <c r="P93" s="8"/>
      <c r="Q93" s="8"/>
      <c r="R93" s="8"/>
      <c r="S93" s="8"/>
      <c r="T93" s="8"/>
      <c r="U93" s="8"/>
      <c r="V93" s="8"/>
      <c r="W93" s="8"/>
      <c r="X93" s="8"/>
      <c r="Y93" s="8"/>
      <c r="Z93" s="8"/>
    </row>
    <row r="94" spans="1:26" ht="12.75" customHeight="1" x14ac:dyDescent="0.25">
      <c r="A94" s="133"/>
      <c r="B94" s="8"/>
      <c r="C94" s="8"/>
      <c r="D94" s="8"/>
      <c r="E94" s="8"/>
      <c r="F94" s="8"/>
      <c r="G94" s="8"/>
      <c r="H94" s="8"/>
      <c r="I94" s="8"/>
      <c r="J94" s="8"/>
      <c r="K94" s="8"/>
      <c r="L94" s="94"/>
      <c r="M94" s="8"/>
      <c r="N94" s="8"/>
      <c r="O94" s="8"/>
      <c r="P94" s="8"/>
      <c r="Q94" s="8"/>
      <c r="R94" s="8"/>
      <c r="S94" s="8"/>
      <c r="T94" s="8"/>
      <c r="U94" s="8"/>
      <c r="V94" s="8"/>
      <c r="W94" s="8"/>
      <c r="X94" s="8"/>
      <c r="Y94" s="8"/>
      <c r="Z94" s="8"/>
    </row>
    <row r="95" spans="1:26" ht="12.75" customHeight="1" x14ac:dyDescent="0.25">
      <c r="A95" s="133"/>
      <c r="B95" s="8"/>
      <c r="C95" s="8"/>
      <c r="D95" s="8"/>
      <c r="E95" s="8"/>
      <c r="F95" s="8"/>
      <c r="G95" s="8"/>
      <c r="H95" s="8"/>
      <c r="I95" s="8"/>
      <c r="J95" s="8"/>
      <c r="K95" s="8"/>
      <c r="L95" s="94"/>
      <c r="M95" s="8"/>
      <c r="N95" s="8"/>
      <c r="O95" s="8"/>
      <c r="P95" s="8"/>
      <c r="Q95" s="8"/>
      <c r="R95" s="8"/>
      <c r="S95" s="8"/>
      <c r="T95" s="8"/>
      <c r="U95" s="8"/>
      <c r="V95" s="8"/>
      <c r="W95" s="8"/>
      <c r="X95" s="8"/>
      <c r="Y95" s="8"/>
      <c r="Z95" s="8"/>
    </row>
    <row r="96" spans="1:26" ht="12.75" customHeight="1" x14ac:dyDescent="0.25">
      <c r="A96" s="133"/>
      <c r="B96" s="8"/>
      <c r="C96" s="8"/>
      <c r="D96" s="8"/>
      <c r="E96" s="8"/>
      <c r="F96" s="8"/>
      <c r="G96" s="8"/>
      <c r="H96" s="8"/>
      <c r="I96" s="8"/>
      <c r="J96" s="8"/>
      <c r="K96" s="8"/>
      <c r="L96" s="94"/>
      <c r="M96" s="8"/>
      <c r="N96" s="8"/>
      <c r="O96" s="8"/>
      <c r="P96" s="8"/>
      <c r="Q96" s="8"/>
      <c r="R96" s="8"/>
      <c r="S96" s="8"/>
      <c r="T96" s="8"/>
      <c r="U96" s="8"/>
      <c r="V96" s="8"/>
      <c r="W96" s="8"/>
      <c r="X96" s="8"/>
      <c r="Y96" s="8"/>
      <c r="Z96" s="8"/>
    </row>
    <row r="97" spans="1:26" ht="12.75" customHeight="1" x14ac:dyDescent="0.25">
      <c r="A97" s="133"/>
      <c r="B97" s="8"/>
      <c r="C97" s="8"/>
      <c r="D97" s="8"/>
      <c r="E97" s="8"/>
      <c r="F97" s="8"/>
      <c r="G97" s="8"/>
      <c r="H97" s="8"/>
      <c r="I97" s="8"/>
      <c r="J97" s="8"/>
      <c r="K97" s="8"/>
      <c r="L97" s="94"/>
      <c r="M97" s="8"/>
      <c r="N97" s="8"/>
      <c r="O97" s="8"/>
      <c r="P97" s="8"/>
      <c r="Q97" s="8"/>
      <c r="R97" s="8"/>
      <c r="S97" s="8"/>
      <c r="T97" s="8"/>
      <c r="U97" s="8"/>
      <c r="V97" s="8"/>
      <c r="W97" s="8"/>
      <c r="X97" s="8"/>
      <c r="Y97" s="8"/>
      <c r="Z97" s="8"/>
    </row>
    <row r="98" spans="1:26" ht="12.75" customHeight="1" x14ac:dyDescent="0.25">
      <c r="A98" s="133"/>
      <c r="B98" s="8"/>
      <c r="C98" s="8"/>
      <c r="D98" s="8"/>
      <c r="E98" s="8"/>
      <c r="F98" s="8"/>
      <c r="G98" s="8"/>
      <c r="H98" s="8"/>
      <c r="I98" s="8"/>
      <c r="J98" s="8"/>
      <c r="K98" s="8"/>
      <c r="L98" s="94"/>
      <c r="M98" s="8"/>
      <c r="N98" s="8"/>
      <c r="O98" s="8"/>
      <c r="P98" s="8"/>
      <c r="Q98" s="8"/>
      <c r="R98" s="8"/>
      <c r="S98" s="8"/>
      <c r="T98" s="8"/>
      <c r="U98" s="8"/>
      <c r="V98" s="8"/>
      <c r="W98" s="8"/>
      <c r="X98" s="8"/>
      <c r="Y98" s="8"/>
      <c r="Z98" s="8"/>
    </row>
    <row r="99" spans="1:26" ht="12.75" customHeight="1" x14ac:dyDescent="0.25">
      <c r="A99" s="133"/>
      <c r="B99" s="8"/>
      <c r="C99" s="8"/>
      <c r="D99" s="8"/>
      <c r="E99" s="8"/>
      <c r="F99" s="8"/>
      <c r="G99" s="8"/>
      <c r="H99" s="8"/>
      <c r="I99" s="8"/>
      <c r="J99" s="8"/>
      <c r="K99" s="8"/>
      <c r="L99" s="94"/>
      <c r="M99" s="8"/>
      <c r="N99" s="8"/>
      <c r="O99" s="8"/>
      <c r="P99" s="8"/>
      <c r="Q99" s="8"/>
      <c r="R99" s="8"/>
      <c r="S99" s="8"/>
      <c r="T99" s="8"/>
      <c r="U99" s="8"/>
      <c r="V99" s="8"/>
      <c r="W99" s="8"/>
      <c r="X99" s="8"/>
      <c r="Y99" s="8"/>
      <c r="Z99" s="8"/>
    </row>
    <row r="100" spans="1:26" ht="12.75" customHeight="1" x14ac:dyDescent="0.25">
      <c r="A100" s="133"/>
      <c r="B100" s="8"/>
      <c r="C100" s="8"/>
      <c r="D100" s="8"/>
      <c r="E100" s="8"/>
      <c r="F100" s="8"/>
      <c r="G100" s="8"/>
      <c r="H100" s="8"/>
      <c r="I100" s="8"/>
      <c r="J100" s="8"/>
      <c r="K100" s="8"/>
      <c r="L100" s="94"/>
      <c r="M100" s="8"/>
      <c r="N100" s="8"/>
      <c r="O100" s="8"/>
      <c r="P100" s="8"/>
      <c r="Q100" s="8"/>
      <c r="R100" s="8"/>
      <c r="S100" s="8"/>
      <c r="T100" s="8"/>
      <c r="U100" s="8"/>
      <c r="V100" s="8"/>
      <c r="W100" s="8"/>
      <c r="X100" s="8"/>
      <c r="Y100" s="8"/>
      <c r="Z100" s="8"/>
    </row>
    <row r="101" spans="1:26" ht="12.75" customHeight="1" x14ac:dyDescent="0.25">
      <c r="A101" s="133"/>
      <c r="B101" s="8"/>
      <c r="C101" s="8"/>
      <c r="D101" s="8"/>
      <c r="E101" s="8"/>
      <c r="F101" s="8"/>
      <c r="G101" s="8"/>
      <c r="H101" s="8"/>
      <c r="I101" s="8"/>
      <c r="J101" s="8"/>
      <c r="K101" s="8"/>
      <c r="L101" s="94"/>
      <c r="M101" s="8"/>
      <c r="N101" s="8"/>
      <c r="O101" s="8"/>
      <c r="P101" s="8"/>
      <c r="Q101" s="8"/>
      <c r="R101" s="8"/>
      <c r="S101" s="8"/>
      <c r="T101" s="8"/>
      <c r="U101" s="8"/>
      <c r="V101" s="8"/>
      <c r="W101" s="8"/>
      <c r="X101" s="8"/>
      <c r="Y101" s="8"/>
      <c r="Z101" s="8"/>
    </row>
    <row r="102" spans="1:26" ht="12.75" customHeight="1" x14ac:dyDescent="0.25">
      <c r="A102" s="133"/>
      <c r="B102" s="8"/>
      <c r="C102" s="8"/>
      <c r="D102" s="8"/>
      <c r="E102" s="8"/>
      <c r="F102" s="8"/>
      <c r="G102" s="8"/>
      <c r="H102" s="8"/>
      <c r="I102" s="8"/>
      <c r="J102" s="8"/>
      <c r="K102" s="8"/>
      <c r="L102" s="94"/>
      <c r="M102" s="8"/>
      <c r="N102" s="8"/>
      <c r="O102" s="8"/>
      <c r="P102" s="8"/>
      <c r="Q102" s="8"/>
      <c r="R102" s="8"/>
      <c r="S102" s="8"/>
      <c r="T102" s="8"/>
      <c r="U102" s="8"/>
      <c r="V102" s="8"/>
      <c r="W102" s="8"/>
      <c r="X102" s="8"/>
      <c r="Y102" s="8"/>
      <c r="Z102" s="8"/>
    </row>
    <row r="103" spans="1:26" ht="12.75" customHeight="1" x14ac:dyDescent="0.25">
      <c r="A103" s="133"/>
      <c r="B103" s="8"/>
      <c r="C103" s="8"/>
      <c r="D103" s="8"/>
      <c r="E103" s="8"/>
      <c r="F103" s="8"/>
      <c r="G103" s="8"/>
      <c r="H103" s="8"/>
      <c r="I103" s="8"/>
      <c r="J103" s="8"/>
      <c r="K103" s="8"/>
      <c r="L103" s="94"/>
      <c r="M103" s="8"/>
      <c r="N103" s="8"/>
      <c r="O103" s="8"/>
      <c r="P103" s="8"/>
      <c r="Q103" s="8"/>
      <c r="R103" s="8"/>
      <c r="S103" s="8"/>
      <c r="T103" s="8"/>
      <c r="U103" s="8"/>
      <c r="V103" s="8"/>
      <c r="W103" s="8"/>
      <c r="X103" s="8"/>
      <c r="Y103" s="8"/>
      <c r="Z103" s="8"/>
    </row>
    <row r="104" spans="1:26" ht="12.75" customHeight="1" x14ac:dyDescent="0.25">
      <c r="A104" s="133"/>
      <c r="B104" s="8"/>
      <c r="C104" s="8"/>
      <c r="D104" s="8"/>
      <c r="E104" s="8"/>
      <c r="F104" s="8"/>
      <c r="G104" s="8"/>
      <c r="H104" s="8"/>
      <c r="I104" s="8"/>
      <c r="J104" s="8"/>
      <c r="K104" s="8"/>
      <c r="L104" s="94"/>
      <c r="M104" s="8"/>
      <c r="N104" s="8"/>
      <c r="O104" s="8"/>
      <c r="P104" s="8"/>
      <c r="Q104" s="8"/>
      <c r="R104" s="8"/>
      <c r="S104" s="8"/>
      <c r="T104" s="8"/>
      <c r="U104" s="8"/>
      <c r="V104" s="8"/>
      <c r="W104" s="8"/>
      <c r="X104" s="8"/>
      <c r="Y104" s="8"/>
      <c r="Z104" s="8"/>
    </row>
    <row r="105" spans="1:26" ht="12.75" customHeight="1" x14ac:dyDescent="0.25">
      <c r="A105" s="133"/>
      <c r="B105" s="8"/>
      <c r="C105" s="8"/>
      <c r="D105" s="8"/>
      <c r="E105" s="8"/>
      <c r="F105" s="8"/>
      <c r="G105" s="8"/>
      <c r="H105" s="8"/>
      <c r="I105" s="8"/>
      <c r="J105" s="8"/>
      <c r="K105" s="8"/>
      <c r="L105" s="94"/>
      <c r="M105" s="8"/>
      <c r="N105" s="8"/>
      <c r="O105" s="8"/>
      <c r="P105" s="8"/>
      <c r="Q105" s="8"/>
      <c r="R105" s="8"/>
      <c r="S105" s="8"/>
      <c r="T105" s="8"/>
      <c r="U105" s="8"/>
      <c r="V105" s="8"/>
      <c r="W105" s="8"/>
      <c r="X105" s="8"/>
      <c r="Y105" s="8"/>
      <c r="Z105" s="8"/>
    </row>
    <row r="106" spans="1:26" ht="12.75" customHeight="1" x14ac:dyDescent="0.25">
      <c r="A106" s="133"/>
      <c r="B106" s="8"/>
      <c r="C106" s="8"/>
      <c r="D106" s="8"/>
      <c r="E106" s="8"/>
      <c r="F106" s="8"/>
      <c r="G106" s="8"/>
      <c r="H106" s="8"/>
      <c r="I106" s="8"/>
      <c r="J106" s="8"/>
      <c r="K106" s="8"/>
      <c r="L106" s="94"/>
      <c r="M106" s="8"/>
      <c r="N106" s="8"/>
      <c r="O106" s="8"/>
      <c r="P106" s="8"/>
      <c r="Q106" s="8"/>
      <c r="R106" s="8"/>
      <c r="S106" s="8"/>
      <c r="T106" s="8"/>
      <c r="U106" s="8"/>
      <c r="V106" s="8"/>
      <c r="W106" s="8"/>
      <c r="X106" s="8"/>
      <c r="Y106" s="8"/>
      <c r="Z106" s="8"/>
    </row>
    <row r="107" spans="1:26" ht="12.75" customHeight="1" x14ac:dyDescent="0.25">
      <c r="A107" s="133"/>
      <c r="B107" s="8"/>
      <c r="C107" s="8"/>
      <c r="D107" s="8"/>
      <c r="E107" s="8"/>
      <c r="F107" s="8"/>
      <c r="G107" s="8"/>
      <c r="H107" s="8"/>
      <c r="I107" s="8"/>
      <c r="J107" s="8"/>
      <c r="K107" s="8"/>
      <c r="L107" s="94"/>
      <c r="M107" s="8"/>
      <c r="N107" s="8"/>
      <c r="O107" s="8"/>
      <c r="P107" s="8"/>
      <c r="Q107" s="8"/>
      <c r="R107" s="8"/>
      <c r="S107" s="8"/>
      <c r="T107" s="8"/>
      <c r="U107" s="8"/>
      <c r="V107" s="8"/>
      <c r="W107" s="8"/>
      <c r="X107" s="8"/>
      <c r="Y107" s="8"/>
      <c r="Z107" s="8"/>
    </row>
    <row r="108" spans="1:26" ht="12.75" customHeight="1" x14ac:dyDescent="0.25">
      <c r="A108" s="133"/>
      <c r="B108" s="8"/>
      <c r="C108" s="8"/>
      <c r="D108" s="8"/>
      <c r="E108" s="8"/>
      <c r="F108" s="8"/>
      <c r="G108" s="8"/>
      <c r="H108" s="8"/>
      <c r="I108" s="8"/>
      <c r="J108" s="8"/>
      <c r="K108" s="8"/>
      <c r="L108" s="94"/>
      <c r="M108" s="8"/>
      <c r="N108" s="8"/>
      <c r="O108" s="8"/>
      <c r="P108" s="8"/>
      <c r="Q108" s="8"/>
      <c r="R108" s="8"/>
      <c r="S108" s="8"/>
      <c r="T108" s="8"/>
      <c r="U108" s="8"/>
      <c r="V108" s="8"/>
      <c r="W108" s="8"/>
      <c r="X108" s="8"/>
      <c r="Y108" s="8"/>
      <c r="Z108" s="8"/>
    </row>
    <row r="109" spans="1:26" ht="12.75" customHeight="1" x14ac:dyDescent="0.25">
      <c r="A109" s="133"/>
      <c r="B109" s="8"/>
      <c r="C109" s="8"/>
      <c r="D109" s="8"/>
      <c r="E109" s="8"/>
      <c r="F109" s="8"/>
      <c r="G109" s="8"/>
      <c r="H109" s="8"/>
      <c r="I109" s="8"/>
      <c r="J109" s="8"/>
      <c r="K109" s="8"/>
      <c r="L109" s="94"/>
      <c r="M109" s="8"/>
      <c r="N109" s="8"/>
      <c r="O109" s="8"/>
      <c r="P109" s="8"/>
      <c r="Q109" s="8"/>
      <c r="R109" s="8"/>
      <c r="S109" s="8"/>
      <c r="T109" s="8"/>
      <c r="U109" s="8"/>
      <c r="V109" s="8"/>
      <c r="W109" s="8"/>
      <c r="X109" s="8"/>
      <c r="Y109" s="8"/>
      <c r="Z109" s="8"/>
    </row>
    <row r="110" spans="1:26" ht="12.75" customHeight="1" x14ac:dyDescent="0.25">
      <c r="A110" s="133"/>
      <c r="B110" s="8"/>
      <c r="C110" s="8"/>
      <c r="D110" s="8"/>
      <c r="E110" s="8"/>
      <c r="F110" s="8"/>
      <c r="G110" s="8"/>
      <c r="H110" s="8"/>
      <c r="I110" s="8"/>
      <c r="J110" s="8"/>
      <c r="K110" s="8"/>
      <c r="L110" s="94"/>
      <c r="M110" s="8"/>
      <c r="N110" s="8"/>
      <c r="O110" s="8"/>
      <c r="P110" s="8"/>
      <c r="Q110" s="8"/>
      <c r="R110" s="8"/>
      <c r="S110" s="8"/>
      <c r="T110" s="8"/>
      <c r="U110" s="8"/>
      <c r="V110" s="8"/>
      <c r="W110" s="8"/>
      <c r="X110" s="8"/>
      <c r="Y110" s="8"/>
      <c r="Z110" s="8"/>
    </row>
    <row r="111" spans="1:26" ht="12.75" customHeight="1" x14ac:dyDescent="0.25">
      <c r="A111" s="133"/>
      <c r="B111" s="8"/>
      <c r="C111" s="8"/>
      <c r="D111" s="8"/>
      <c r="E111" s="8"/>
      <c r="F111" s="8"/>
      <c r="G111" s="8"/>
      <c r="H111" s="8"/>
      <c r="I111" s="8"/>
      <c r="J111" s="8"/>
      <c r="K111" s="8"/>
      <c r="L111" s="94"/>
      <c r="M111" s="8"/>
      <c r="N111" s="8"/>
      <c r="O111" s="8"/>
      <c r="P111" s="8"/>
      <c r="Q111" s="8"/>
      <c r="R111" s="8"/>
      <c r="S111" s="8"/>
      <c r="T111" s="8"/>
      <c r="U111" s="8"/>
      <c r="V111" s="8"/>
      <c r="W111" s="8"/>
      <c r="X111" s="8"/>
      <c r="Y111" s="8"/>
      <c r="Z111" s="8"/>
    </row>
    <row r="112" spans="1:26" ht="12.75" customHeight="1" x14ac:dyDescent="0.25">
      <c r="A112" s="133"/>
      <c r="B112" s="8"/>
      <c r="C112" s="8"/>
      <c r="D112" s="8"/>
      <c r="E112" s="8"/>
      <c r="F112" s="8"/>
      <c r="G112" s="8"/>
      <c r="H112" s="8"/>
      <c r="I112" s="8"/>
      <c r="J112" s="8"/>
      <c r="K112" s="8"/>
      <c r="L112" s="94"/>
      <c r="M112" s="8"/>
      <c r="N112" s="8"/>
      <c r="O112" s="8"/>
      <c r="P112" s="8"/>
      <c r="Q112" s="8"/>
      <c r="R112" s="8"/>
      <c r="S112" s="8"/>
      <c r="T112" s="8"/>
      <c r="U112" s="8"/>
      <c r="V112" s="8"/>
      <c r="W112" s="8"/>
      <c r="X112" s="8"/>
      <c r="Y112" s="8"/>
      <c r="Z112" s="8"/>
    </row>
    <row r="113" spans="1:26" ht="12.75" customHeight="1" x14ac:dyDescent="0.25">
      <c r="A113" s="133"/>
      <c r="B113" s="8"/>
      <c r="C113" s="8"/>
      <c r="D113" s="8"/>
      <c r="E113" s="8"/>
      <c r="F113" s="8"/>
      <c r="G113" s="8"/>
      <c r="H113" s="8"/>
      <c r="I113" s="8"/>
      <c r="J113" s="8"/>
      <c r="K113" s="8"/>
      <c r="L113" s="94"/>
      <c r="M113" s="8"/>
      <c r="N113" s="8"/>
      <c r="O113" s="8"/>
      <c r="P113" s="8"/>
      <c r="Q113" s="8"/>
      <c r="R113" s="8"/>
      <c r="S113" s="8"/>
      <c r="T113" s="8"/>
      <c r="U113" s="8"/>
      <c r="V113" s="8"/>
      <c r="W113" s="8"/>
      <c r="X113" s="8"/>
      <c r="Y113" s="8"/>
      <c r="Z113" s="8"/>
    </row>
    <row r="114" spans="1:26" ht="12.75" customHeight="1" x14ac:dyDescent="0.25">
      <c r="A114" s="133"/>
      <c r="B114" s="8"/>
      <c r="C114" s="8"/>
      <c r="D114" s="8"/>
      <c r="E114" s="8"/>
      <c r="F114" s="8"/>
      <c r="G114" s="8"/>
      <c r="H114" s="8"/>
      <c r="I114" s="8"/>
      <c r="J114" s="8"/>
      <c r="K114" s="8"/>
      <c r="L114" s="94"/>
      <c r="M114" s="8"/>
      <c r="N114" s="8"/>
      <c r="O114" s="8"/>
      <c r="P114" s="8"/>
      <c r="Q114" s="8"/>
      <c r="R114" s="8"/>
      <c r="S114" s="8"/>
      <c r="T114" s="8"/>
      <c r="U114" s="8"/>
      <c r="V114" s="8"/>
      <c r="W114" s="8"/>
      <c r="X114" s="8"/>
      <c r="Y114" s="8"/>
      <c r="Z114" s="8"/>
    </row>
    <row r="115" spans="1:26" ht="12.75" customHeight="1" x14ac:dyDescent="0.25">
      <c r="A115" s="133"/>
      <c r="B115" s="8"/>
      <c r="C115" s="8"/>
      <c r="D115" s="8"/>
      <c r="E115" s="8"/>
      <c r="F115" s="8"/>
      <c r="G115" s="8"/>
      <c r="H115" s="8"/>
      <c r="I115" s="8"/>
      <c r="J115" s="8"/>
      <c r="K115" s="8"/>
      <c r="L115" s="94"/>
      <c r="M115" s="8"/>
      <c r="N115" s="8"/>
      <c r="O115" s="8"/>
      <c r="P115" s="8"/>
      <c r="Q115" s="8"/>
      <c r="R115" s="8"/>
      <c r="S115" s="8"/>
      <c r="T115" s="8"/>
      <c r="U115" s="8"/>
      <c r="V115" s="8"/>
      <c r="W115" s="8"/>
      <c r="X115" s="8"/>
      <c r="Y115" s="8"/>
      <c r="Z115" s="8"/>
    </row>
    <row r="116" spans="1:26" ht="12.75" customHeight="1" x14ac:dyDescent="0.25">
      <c r="A116" s="133"/>
      <c r="B116" s="8"/>
      <c r="C116" s="8"/>
      <c r="D116" s="8"/>
      <c r="E116" s="8"/>
      <c r="F116" s="8"/>
      <c r="G116" s="8"/>
      <c r="H116" s="8"/>
      <c r="I116" s="8"/>
      <c r="J116" s="8"/>
      <c r="K116" s="8"/>
      <c r="L116" s="94"/>
      <c r="M116" s="8"/>
      <c r="N116" s="8"/>
      <c r="O116" s="8"/>
      <c r="P116" s="8"/>
      <c r="Q116" s="8"/>
      <c r="R116" s="8"/>
      <c r="S116" s="8"/>
      <c r="T116" s="8"/>
      <c r="U116" s="8"/>
      <c r="V116" s="8"/>
      <c r="W116" s="8"/>
      <c r="X116" s="8"/>
      <c r="Y116" s="8"/>
      <c r="Z116" s="8"/>
    </row>
    <row r="117" spans="1:26" ht="12.75" customHeight="1" x14ac:dyDescent="0.25">
      <c r="A117" s="133"/>
      <c r="B117" s="8"/>
      <c r="C117" s="8"/>
      <c r="D117" s="8"/>
      <c r="E117" s="8"/>
      <c r="F117" s="8"/>
      <c r="G117" s="8"/>
      <c r="H117" s="8"/>
      <c r="I117" s="8"/>
      <c r="J117" s="8"/>
      <c r="K117" s="8"/>
      <c r="L117" s="94"/>
      <c r="M117" s="8"/>
      <c r="N117" s="8"/>
      <c r="O117" s="8"/>
      <c r="P117" s="8"/>
      <c r="Q117" s="8"/>
      <c r="R117" s="8"/>
      <c r="S117" s="8"/>
      <c r="T117" s="8"/>
      <c r="U117" s="8"/>
      <c r="V117" s="8"/>
      <c r="W117" s="8"/>
      <c r="X117" s="8"/>
      <c r="Y117" s="8"/>
      <c r="Z117" s="8"/>
    </row>
    <row r="118" spans="1:26" ht="12.75" customHeight="1" x14ac:dyDescent="0.25">
      <c r="A118" s="133"/>
      <c r="B118" s="8"/>
      <c r="C118" s="8"/>
      <c r="D118" s="8"/>
      <c r="E118" s="8"/>
      <c r="F118" s="8"/>
      <c r="G118" s="8"/>
      <c r="H118" s="8"/>
      <c r="I118" s="8"/>
      <c r="J118" s="8"/>
      <c r="K118" s="8"/>
      <c r="L118" s="94"/>
      <c r="M118" s="8"/>
      <c r="N118" s="8"/>
      <c r="O118" s="8"/>
      <c r="P118" s="8"/>
      <c r="Q118" s="8"/>
      <c r="R118" s="8"/>
      <c r="S118" s="8"/>
      <c r="T118" s="8"/>
      <c r="U118" s="8"/>
      <c r="V118" s="8"/>
      <c r="W118" s="8"/>
      <c r="X118" s="8"/>
      <c r="Y118" s="8"/>
      <c r="Z118" s="8"/>
    </row>
    <row r="119" spans="1:26" ht="12.75" customHeight="1" x14ac:dyDescent="0.25">
      <c r="A119" s="133"/>
      <c r="B119" s="8"/>
      <c r="C119" s="8"/>
      <c r="D119" s="8"/>
      <c r="E119" s="8"/>
      <c r="F119" s="8"/>
      <c r="G119" s="8"/>
      <c r="H119" s="8"/>
      <c r="I119" s="8"/>
      <c r="J119" s="8"/>
      <c r="K119" s="8"/>
      <c r="L119" s="94"/>
      <c r="M119" s="8"/>
      <c r="N119" s="8"/>
      <c r="O119" s="8"/>
      <c r="P119" s="8"/>
      <c r="Q119" s="8"/>
      <c r="R119" s="8"/>
      <c r="S119" s="8"/>
      <c r="T119" s="8"/>
      <c r="U119" s="8"/>
      <c r="V119" s="8"/>
      <c r="W119" s="8"/>
      <c r="X119" s="8"/>
      <c r="Y119" s="8"/>
      <c r="Z119" s="8"/>
    </row>
    <row r="120" spans="1:26" ht="12.75" customHeight="1" x14ac:dyDescent="0.25">
      <c r="A120" s="133"/>
      <c r="B120" s="8"/>
      <c r="C120" s="8"/>
      <c r="D120" s="8"/>
      <c r="E120" s="8"/>
      <c r="F120" s="8"/>
      <c r="G120" s="8"/>
      <c r="H120" s="8"/>
      <c r="I120" s="8"/>
      <c r="J120" s="8"/>
      <c r="K120" s="8"/>
      <c r="L120" s="94"/>
      <c r="M120" s="8"/>
      <c r="N120" s="8"/>
      <c r="O120" s="8"/>
      <c r="P120" s="8"/>
      <c r="Q120" s="8"/>
      <c r="R120" s="8"/>
      <c r="S120" s="8"/>
      <c r="T120" s="8"/>
      <c r="U120" s="8"/>
      <c r="V120" s="8"/>
      <c r="W120" s="8"/>
      <c r="X120" s="8"/>
      <c r="Y120" s="8"/>
      <c r="Z120" s="8"/>
    </row>
    <row r="121" spans="1:26" ht="12.75" customHeight="1" x14ac:dyDescent="0.25">
      <c r="A121" s="133"/>
      <c r="B121" s="8"/>
      <c r="C121" s="8"/>
      <c r="D121" s="8"/>
      <c r="E121" s="8"/>
      <c r="F121" s="8"/>
      <c r="G121" s="8"/>
      <c r="H121" s="8"/>
      <c r="I121" s="8"/>
      <c r="J121" s="8"/>
      <c r="K121" s="8"/>
      <c r="L121" s="94"/>
      <c r="M121" s="8"/>
      <c r="N121" s="8"/>
      <c r="O121" s="8"/>
      <c r="P121" s="8"/>
      <c r="Q121" s="8"/>
      <c r="R121" s="8"/>
      <c r="S121" s="8"/>
      <c r="T121" s="8"/>
      <c r="U121" s="8"/>
      <c r="V121" s="8"/>
      <c r="W121" s="8"/>
      <c r="X121" s="8"/>
      <c r="Y121" s="8"/>
      <c r="Z121" s="8"/>
    </row>
    <row r="122" spans="1:26" ht="12.75" customHeight="1" x14ac:dyDescent="0.25">
      <c r="A122" s="133"/>
      <c r="B122" s="8"/>
      <c r="C122" s="8"/>
      <c r="D122" s="8"/>
      <c r="E122" s="8"/>
      <c r="F122" s="8"/>
      <c r="G122" s="8"/>
      <c r="H122" s="8"/>
      <c r="I122" s="8"/>
      <c r="J122" s="8"/>
      <c r="K122" s="8"/>
      <c r="L122" s="94"/>
      <c r="M122" s="8"/>
      <c r="N122" s="8"/>
      <c r="O122" s="8"/>
      <c r="P122" s="8"/>
      <c r="Q122" s="8"/>
      <c r="R122" s="8"/>
      <c r="S122" s="8"/>
      <c r="T122" s="8"/>
      <c r="U122" s="8"/>
      <c r="V122" s="8"/>
      <c r="W122" s="8"/>
      <c r="X122" s="8"/>
      <c r="Y122" s="8"/>
      <c r="Z122" s="8"/>
    </row>
    <row r="123" spans="1:26" ht="12.75" customHeight="1" x14ac:dyDescent="0.25">
      <c r="A123" s="133"/>
      <c r="B123" s="8"/>
      <c r="C123" s="8"/>
      <c r="D123" s="8"/>
      <c r="E123" s="8"/>
      <c r="F123" s="8"/>
      <c r="G123" s="8"/>
      <c r="H123" s="8"/>
      <c r="I123" s="8"/>
      <c r="J123" s="8"/>
      <c r="K123" s="8"/>
      <c r="L123" s="94"/>
      <c r="M123" s="8"/>
      <c r="N123" s="8"/>
      <c r="O123" s="8"/>
      <c r="P123" s="8"/>
      <c r="Q123" s="8"/>
      <c r="R123" s="8"/>
      <c r="S123" s="8"/>
      <c r="T123" s="8"/>
      <c r="U123" s="8"/>
      <c r="V123" s="8"/>
      <c r="W123" s="8"/>
      <c r="X123" s="8"/>
      <c r="Y123" s="8"/>
      <c r="Z123" s="8"/>
    </row>
    <row r="124" spans="1:26" ht="12.75" customHeight="1" x14ac:dyDescent="0.25">
      <c r="A124" s="133"/>
      <c r="B124" s="8"/>
      <c r="C124" s="8"/>
      <c r="D124" s="8"/>
      <c r="E124" s="8"/>
      <c r="F124" s="8"/>
      <c r="G124" s="8"/>
      <c r="H124" s="8"/>
      <c r="I124" s="8"/>
      <c r="J124" s="8"/>
      <c r="K124" s="8"/>
      <c r="L124" s="94"/>
      <c r="M124" s="8"/>
      <c r="N124" s="8"/>
      <c r="O124" s="8"/>
      <c r="P124" s="8"/>
      <c r="Q124" s="8"/>
      <c r="R124" s="8"/>
      <c r="S124" s="8"/>
      <c r="T124" s="8"/>
      <c r="U124" s="8"/>
      <c r="V124" s="8"/>
      <c r="W124" s="8"/>
      <c r="X124" s="8"/>
      <c r="Y124" s="8"/>
      <c r="Z124" s="8"/>
    </row>
    <row r="125" spans="1:26" ht="12.75" customHeight="1" x14ac:dyDescent="0.25">
      <c r="A125" s="133"/>
      <c r="B125" s="8"/>
      <c r="C125" s="8"/>
      <c r="D125" s="8"/>
      <c r="E125" s="8"/>
      <c r="F125" s="8"/>
      <c r="G125" s="8"/>
      <c r="H125" s="8"/>
      <c r="I125" s="8"/>
      <c r="J125" s="8"/>
      <c r="K125" s="8"/>
      <c r="L125" s="94"/>
      <c r="M125" s="8"/>
      <c r="N125" s="8"/>
      <c r="O125" s="8"/>
      <c r="P125" s="8"/>
      <c r="Q125" s="8"/>
      <c r="R125" s="8"/>
      <c r="S125" s="8"/>
      <c r="T125" s="8"/>
      <c r="U125" s="8"/>
      <c r="V125" s="8"/>
      <c r="W125" s="8"/>
      <c r="X125" s="8"/>
      <c r="Y125" s="8"/>
      <c r="Z125" s="8"/>
    </row>
    <row r="126" spans="1:26" ht="12.75" customHeight="1" x14ac:dyDescent="0.25">
      <c r="A126" s="133"/>
      <c r="B126" s="8"/>
      <c r="C126" s="8"/>
      <c r="D126" s="8"/>
      <c r="E126" s="8"/>
      <c r="F126" s="8"/>
      <c r="G126" s="8"/>
      <c r="H126" s="8"/>
      <c r="I126" s="8"/>
      <c r="J126" s="8"/>
      <c r="K126" s="8"/>
      <c r="L126" s="94"/>
      <c r="M126" s="8"/>
      <c r="N126" s="8"/>
      <c r="O126" s="8"/>
      <c r="P126" s="8"/>
      <c r="Q126" s="8"/>
      <c r="R126" s="8"/>
      <c r="S126" s="8"/>
      <c r="T126" s="8"/>
      <c r="U126" s="8"/>
      <c r="V126" s="8"/>
      <c r="W126" s="8"/>
      <c r="X126" s="8"/>
      <c r="Y126" s="8"/>
      <c r="Z126" s="8"/>
    </row>
    <row r="127" spans="1:26" ht="12.75" customHeight="1" x14ac:dyDescent="0.25">
      <c r="A127" s="133"/>
      <c r="B127" s="8"/>
      <c r="C127" s="8"/>
      <c r="D127" s="8"/>
      <c r="E127" s="8"/>
      <c r="F127" s="8"/>
      <c r="G127" s="8"/>
      <c r="H127" s="8"/>
      <c r="I127" s="8"/>
      <c r="J127" s="8"/>
      <c r="K127" s="8"/>
      <c r="L127" s="94"/>
      <c r="M127" s="8"/>
      <c r="N127" s="8"/>
      <c r="O127" s="8"/>
      <c r="P127" s="8"/>
      <c r="Q127" s="8"/>
      <c r="R127" s="8"/>
      <c r="S127" s="8"/>
      <c r="T127" s="8"/>
      <c r="U127" s="8"/>
      <c r="V127" s="8"/>
      <c r="W127" s="8"/>
      <c r="X127" s="8"/>
      <c r="Y127" s="8"/>
      <c r="Z127" s="8"/>
    </row>
    <row r="128" spans="1:26" ht="12.75" customHeight="1" x14ac:dyDescent="0.25">
      <c r="A128" s="133"/>
      <c r="B128" s="8"/>
      <c r="C128" s="8"/>
      <c r="D128" s="8"/>
      <c r="E128" s="8"/>
      <c r="F128" s="8"/>
      <c r="G128" s="8"/>
      <c r="H128" s="8"/>
      <c r="I128" s="8"/>
      <c r="J128" s="8"/>
      <c r="K128" s="8"/>
      <c r="L128" s="94"/>
      <c r="M128" s="8"/>
      <c r="N128" s="8"/>
      <c r="O128" s="8"/>
      <c r="P128" s="8"/>
      <c r="Q128" s="8"/>
      <c r="R128" s="8"/>
      <c r="S128" s="8"/>
      <c r="T128" s="8"/>
      <c r="U128" s="8"/>
      <c r="V128" s="8"/>
      <c r="W128" s="8"/>
      <c r="X128" s="8"/>
      <c r="Y128" s="8"/>
      <c r="Z128" s="8"/>
    </row>
    <row r="129" spans="1:26" ht="12.75" customHeight="1" x14ac:dyDescent="0.25">
      <c r="A129" s="133"/>
      <c r="B129" s="8"/>
      <c r="C129" s="8"/>
      <c r="D129" s="8"/>
      <c r="E129" s="8"/>
      <c r="F129" s="8"/>
      <c r="G129" s="8"/>
      <c r="H129" s="8"/>
      <c r="I129" s="8"/>
      <c r="J129" s="8"/>
      <c r="K129" s="8"/>
      <c r="L129" s="94"/>
      <c r="M129" s="8"/>
      <c r="N129" s="8"/>
      <c r="O129" s="8"/>
      <c r="P129" s="8"/>
      <c r="Q129" s="8"/>
      <c r="R129" s="8"/>
      <c r="S129" s="8"/>
      <c r="T129" s="8"/>
      <c r="U129" s="8"/>
      <c r="V129" s="8"/>
      <c r="W129" s="8"/>
      <c r="X129" s="8"/>
      <c r="Y129" s="8"/>
      <c r="Z129" s="8"/>
    </row>
    <row r="130" spans="1:26" ht="12.75" customHeight="1" x14ac:dyDescent="0.25">
      <c r="A130" s="133"/>
      <c r="B130" s="8"/>
      <c r="C130" s="8"/>
      <c r="D130" s="8"/>
      <c r="E130" s="8"/>
      <c r="F130" s="8"/>
      <c r="G130" s="8"/>
      <c r="H130" s="8"/>
      <c r="I130" s="8"/>
      <c r="J130" s="8"/>
      <c r="K130" s="8"/>
      <c r="L130" s="94"/>
      <c r="M130" s="8"/>
      <c r="N130" s="8"/>
      <c r="O130" s="8"/>
      <c r="P130" s="8"/>
      <c r="Q130" s="8"/>
      <c r="R130" s="8"/>
      <c r="S130" s="8"/>
      <c r="T130" s="8"/>
      <c r="U130" s="8"/>
      <c r="V130" s="8"/>
      <c r="W130" s="8"/>
      <c r="X130" s="8"/>
      <c r="Y130" s="8"/>
      <c r="Z130" s="8"/>
    </row>
    <row r="131" spans="1:26" ht="12.75" customHeight="1" x14ac:dyDescent="0.25">
      <c r="A131" s="133"/>
      <c r="B131" s="8"/>
      <c r="C131" s="8"/>
      <c r="D131" s="8"/>
      <c r="E131" s="8"/>
      <c r="F131" s="8"/>
      <c r="G131" s="8"/>
      <c r="H131" s="8"/>
      <c r="I131" s="8"/>
      <c r="J131" s="8"/>
      <c r="K131" s="8"/>
      <c r="L131" s="94"/>
      <c r="M131" s="8"/>
      <c r="N131" s="8"/>
      <c r="O131" s="8"/>
      <c r="P131" s="8"/>
      <c r="Q131" s="8"/>
      <c r="R131" s="8"/>
      <c r="S131" s="8"/>
      <c r="T131" s="8"/>
      <c r="U131" s="8"/>
      <c r="V131" s="8"/>
      <c r="W131" s="8"/>
      <c r="X131" s="8"/>
      <c r="Y131" s="8"/>
      <c r="Z131" s="8"/>
    </row>
    <row r="132" spans="1:26" ht="12.75" customHeight="1" x14ac:dyDescent="0.25">
      <c r="A132" s="133"/>
      <c r="B132" s="8"/>
      <c r="C132" s="8"/>
      <c r="D132" s="8"/>
      <c r="E132" s="8"/>
      <c r="F132" s="8"/>
      <c r="G132" s="8"/>
      <c r="H132" s="8"/>
      <c r="I132" s="8"/>
      <c r="J132" s="8"/>
      <c r="K132" s="8"/>
      <c r="L132" s="94"/>
      <c r="M132" s="8"/>
      <c r="N132" s="8"/>
      <c r="O132" s="8"/>
      <c r="P132" s="8"/>
      <c r="Q132" s="8"/>
      <c r="R132" s="8"/>
      <c r="S132" s="8"/>
      <c r="T132" s="8"/>
      <c r="U132" s="8"/>
      <c r="V132" s="8"/>
      <c r="W132" s="8"/>
      <c r="X132" s="8"/>
      <c r="Y132" s="8"/>
      <c r="Z132" s="8"/>
    </row>
    <row r="133" spans="1:26" ht="12.75" customHeight="1" x14ac:dyDescent="0.25">
      <c r="A133" s="133"/>
      <c r="B133" s="8"/>
      <c r="C133" s="8"/>
      <c r="D133" s="8"/>
      <c r="E133" s="8"/>
      <c r="F133" s="8"/>
      <c r="G133" s="8"/>
      <c r="H133" s="8"/>
      <c r="I133" s="8"/>
      <c r="J133" s="8"/>
      <c r="K133" s="8"/>
      <c r="L133" s="94"/>
      <c r="M133" s="8"/>
      <c r="N133" s="8"/>
      <c r="O133" s="8"/>
      <c r="P133" s="8"/>
      <c r="Q133" s="8"/>
      <c r="R133" s="8"/>
      <c r="S133" s="8"/>
      <c r="T133" s="8"/>
      <c r="U133" s="8"/>
      <c r="V133" s="8"/>
      <c r="W133" s="8"/>
      <c r="X133" s="8"/>
      <c r="Y133" s="8"/>
      <c r="Z133" s="8"/>
    </row>
    <row r="134" spans="1:26" ht="12.75" customHeight="1" x14ac:dyDescent="0.25">
      <c r="A134" s="133"/>
      <c r="B134" s="8"/>
      <c r="C134" s="8"/>
      <c r="D134" s="8"/>
      <c r="E134" s="8"/>
      <c r="F134" s="8"/>
      <c r="G134" s="8"/>
      <c r="H134" s="8"/>
      <c r="I134" s="8"/>
      <c r="J134" s="8"/>
      <c r="K134" s="8"/>
      <c r="L134" s="94"/>
      <c r="M134" s="8"/>
      <c r="N134" s="8"/>
      <c r="O134" s="8"/>
      <c r="P134" s="8"/>
      <c r="Q134" s="8"/>
      <c r="R134" s="8"/>
      <c r="S134" s="8"/>
      <c r="T134" s="8"/>
      <c r="U134" s="8"/>
      <c r="V134" s="8"/>
      <c r="W134" s="8"/>
      <c r="X134" s="8"/>
      <c r="Y134" s="8"/>
      <c r="Z134" s="8"/>
    </row>
    <row r="135" spans="1:26" ht="12.75" customHeight="1" x14ac:dyDescent="0.25">
      <c r="A135" s="133"/>
      <c r="B135" s="8"/>
      <c r="C135" s="8"/>
      <c r="D135" s="8"/>
      <c r="E135" s="8"/>
      <c r="F135" s="8"/>
      <c r="G135" s="8"/>
      <c r="H135" s="8"/>
      <c r="I135" s="8"/>
      <c r="J135" s="8"/>
      <c r="K135" s="8"/>
      <c r="L135" s="94"/>
      <c r="M135" s="8"/>
      <c r="N135" s="8"/>
      <c r="O135" s="8"/>
      <c r="P135" s="8"/>
      <c r="Q135" s="8"/>
      <c r="R135" s="8"/>
      <c r="S135" s="8"/>
      <c r="T135" s="8"/>
      <c r="U135" s="8"/>
      <c r="V135" s="8"/>
      <c r="W135" s="8"/>
      <c r="X135" s="8"/>
      <c r="Y135" s="8"/>
      <c r="Z135" s="8"/>
    </row>
    <row r="136" spans="1:26" ht="12.75" customHeight="1" x14ac:dyDescent="0.25">
      <c r="A136" s="133"/>
      <c r="B136" s="8"/>
      <c r="C136" s="8"/>
      <c r="D136" s="8"/>
      <c r="E136" s="8"/>
      <c r="F136" s="8"/>
      <c r="G136" s="8"/>
      <c r="H136" s="8"/>
      <c r="I136" s="8"/>
      <c r="J136" s="8"/>
      <c r="K136" s="8"/>
      <c r="L136" s="94"/>
      <c r="M136" s="8"/>
      <c r="N136" s="8"/>
      <c r="O136" s="8"/>
      <c r="P136" s="8"/>
      <c r="Q136" s="8"/>
      <c r="R136" s="8"/>
      <c r="S136" s="8"/>
      <c r="T136" s="8"/>
      <c r="U136" s="8"/>
      <c r="V136" s="8"/>
      <c r="W136" s="8"/>
      <c r="X136" s="8"/>
      <c r="Y136" s="8"/>
      <c r="Z136" s="8"/>
    </row>
    <row r="137" spans="1:26" ht="12.75" customHeight="1" x14ac:dyDescent="0.25">
      <c r="A137" s="133"/>
      <c r="B137" s="8"/>
      <c r="C137" s="8"/>
      <c r="D137" s="8"/>
      <c r="E137" s="8"/>
      <c r="F137" s="8"/>
      <c r="G137" s="8"/>
      <c r="H137" s="8"/>
      <c r="I137" s="8"/>
      <c r="J137" s="8"/>
      <c r="K137" s="8"/>
      <c r="L137" s="94"/>
      <c r="M137" s="8"/>
      <c r="N137" s="8"/>
      <c r="O137" s="8"/>
      <c r="P137" s="8"/>
      <c r="Q137" s="8"/>
      <c r="R137" s="8"/>
      <c r="S137" s="8"/>
      <c r="T137" s="8"/>
      <c r="U137" s="8"/>
      <c r="V137" s="8"/>
      <c r="W137" s="8"/>
      <c r="X137" s="8"/>
      <c r="Y137" s="8"/>
      <c r="Z137" s="8"/>
    </row>
    <row r="138" spans="1:26" ht="12.75" customHeight="1" x14ac:dyDescent="0.25">
      <c r="A138" s="133"/>
      <c r="B138" s="8"/>
      <c r="C138" s="8"/>
      <c r="D138" s="8"/>
      <c r="E138" s="8"/>
      <c r="F138" s="8"/>
      <c r="G138" s="8"/>
      <c r="H138" s="8"/>
      <c r="I138" s="8"/>
      <c r="J138" s="8"/>
      <c r="K138" s="8"/>
      <c r="L138" s="94"/>
      <c r="M138" s="8"/>
      <c r="N138" s="8"/>
      <c r="O138" s="8"/>
      <c r="P138" s="8"/>
      <c r="Q138" s="8"/>
      <c r="R138" s="8"/>
      <c r="S138" s="8"/>
      <c r="T138" s="8"/>
      <c r="U138" s="8"/>
      <c r="V138" s="8"/>
      <c r="W138" s="8"/>
      <c r="X138" s="8"/>
      <c r="Y138" s="8"/>
      <c r="Z138" s="8"/>
    </row>
    <row r="139" spans="1:26" ht="12.75" customHeight="1" x14ac:dyDescent="0.25">
      <c r="A139" s="133"/>
      <c r="B139" s="8"/>
      <c r="C139" s="8"/>
      <c r="D139" s="8"/>
      <c r="E139" s="8"/>
      <c r="F139" s="8"/>
      <c r="G139" s="8"/>
      <c r="H139" s="8"/>
      <c r="I139" s="8"/>
      <c r="J139" s="8"/>
      <c r="K139" s="8"/>
      <c r="L139" s="94"/>
      <c r="M139" s="8"/>
      <c r="N139" s="8"/>
      <c r="O139" s="8"/>
      <c r="P139" s="8"/>
      <c r="Q139" s="8"/>
      <c r="R139" s="8"/>
      <c r="S139" s="8"/>
      <c r="T139" s="8"/>
      <c r="U139" s="8"/>
      <c r="V139" s="8"/>
      <c r="W139" s="8"/>
      <c r="X139" s="8"/>
      <c r="Y139" s="8"/>
      <c r="Z139" s="8"/>
    </row>
    <row r="140" spans="1:26" ht="12.75" customHeight="1" x14ac:dyDescent="0.25">
      <c r="A140" s="133"/>
      <c r="B140" s="8"/>
      <c r="C140" s="8"/>
      <c r="D140" s="8"/>
      <c r="E140" s="8"/>
      <c r="F140" s="8"/>
      <c r="G140" s="8"/>
      <c r="H140" s="8"/>
      <c r="I140" s="8"/>
      <c r="J140" s="8"/>
      <c r="K140" s="8"/>
      <c r="L140" s="94"/>
      <c r="M140" s="8"/>
      <c r="N140" s="8"/>
      <c r="O140" s="8"/>
      <c r="P140" s="8"/>
      <c r="Q140" s="8"/>
      <c r="R140" s="8"/>
      <c r="S140" s="8"/>
      <c r="T140" s="8"/>
      <c r="U140" s="8"/>
      <c r="V140" s="8"/>
      <c r="W140" s="8"/>
      <c r="X140" s="8"/>
      <c r="Y140" s="8"/>
      <c r="Z140" s="8"/>
    </row>
    <row r="141" spans="1:26" ht="12.75" customHeight="1" x14ac:dyDescent="0.25">
      <c r="A141" s="133"/>
      <c r="B141" s="8"/>
      <c r="C141" s="8"/>
      <c r="D141" s="8"/>
      <c r="E141" s="8"/>
      <c r="F141" s="8"/>
      <c r="G141" s="8"/>
      <c r="H141" s="8"/>
      <c r="I141" s="8"/>
      <c r="J141" s="8"/>
      <c r="K141" s="8"/>
      <c r="L141" s="94"/>
      <c r="M141" s="8"/>
      <c r="N141" s="8"/>
      <c r="O141" s="8"/>
      <c r="P141" s="8"/>
      <c r="Q141" s="8"/>
      <c r="R141" s="8"/>
      <c r="S141" s="8"/>
      <c r="T141" s="8"/>
      <c r="U141" s="8"/>
      <c r="V141" s="8"/>
      <c r="W141" s="8"/>
      <c r="X141" s="8"/>
      <c r="Y141" s="8"/>
      <c r="Z141" s="8"/>
    </row>
    <row r="142" spans="1:26" ht="12.75" customHeight="1" x14ac:dyDescent="0.25">
      <c r="A142" s="133"/>
      <c r="B142" s="8"/>
      <c r="C142" s="8"/>
      <c r="D142" s="8"/>
      <c r="E142" s="8"/>
      <c r="F142" s="8"/>
      <c r="G142" s="8"/>
      <c r="H142" s="8"/>
      <c r="I142" s="8"/>
      <c r="J142" s="8"/>
      <c r="K142" s="8"/>
      <c r="L142" s="94"/>
      <c r="M142" s="8"/>
      <c r="N142" s="8"/>
      <c r="O142" s="8"/>
      <c r="P142" s="8"/>
      <c r="Q142" s="8"/>
      <c r="R142" s="8"/>
      <c r="S142" s="8"/>
      <c r="T142" s="8"/>
      <c r="U142" s="8"/>
      <c r="V142" s="8"/>
      <c r="W142" s="8"/>
      <c r="X142" s="8"/>
      <c r="Y142" s="8"/>
      <c r="Z142" s="8"/>
    </row>
    <row r="143" spans="1:26" ht="12.75" customHeight="1" x14ac:dyDescent="0.25">
      <c r="A143" s="133"/>
      <c r="B143" s="8"/>
      <c r="C143" s="8"/>
      <c r="D143" s="8"/>
      <c r="E143" s="8"/>
      <c r="F143" s="8"/>
      <c r="G143" s="8"/>
      <c r="H143" s="8"/>
      <c r="I143" s="8"/>
      <c r="J143" s="8"/>
      <c r="K143" s="8"/>
      <c r="L143" s="94"/>
      <c r="M143" s="8"/>
      <c r="N143" s="8"/>
      <c r="O143" s="8"/>
      <c r="P143" s="8"/>
      <c r="Q143" s="8"/>
      <c r="R143" s="8"/>
      <c r="S143" s="8"/>
      <c r="T143" s="8"/>
      <c r="U143" s="8"/>
      <c r="V143" s="8"/>
      <c r="W143" s="8"/>
      <c r="X143" s="8"/>
      <c r="Y143" s="8"/>
      <c r="Z143" s="8"/>
    </row>
    <row r="144" spans="1:26" ht="12.75" customHeight="1" x14ac:dyDescent="0.25">
      <c r="A144" s="133"/>
      <c r="B144" s="8"/>
      <c r="C144" s="8"/>
      <c r="D144" s="8"/>
      <c r="E144" s="8"/>
      <c r="F144" s="8"/>
      <c r="G144" s="8"/>
      <c r="H144" s="8"/>
      <c r="I144" s="8"/>
      <c r="J144" s="8"/>
      <c r="K144" s="8"/>
      <c r="L144" s="94"/>
      <c r="M144" s="8"/>
      <c r="N144" s="8"/>
      <c r="O144" s="8"/>
      <c r="P144" s="8"/>
      <c r="Q144" s="8"/>
      <c r="R144" s="8"/>
      <c r="S144" s="8"/>
      <c r="T144" s="8"/>
      <c r="U144" s="8"/>
      <c r="V144" s="8"/>
      <c r="W144" s="8"/>
      <c r="X144" s="8"/>
      <c r="Y144" s="8"/>
      <c r="Z144" s="8"/>
    </row>
    <row r="145" spans="1:26" ht="12.75" customHeight="1" x14ac:dyDescent="0.25">
      <c r="A145" s="133"/>
      <c r="B145" s="8"/>
      <c r="C145" s="8"/>
      <c r="D145" s="8"/>
      <c r="E145" s="8"/>
      <c r="F145" s="8"/>
      <c r="G145" s="8"/>
      <c r="H145" s="8"/>
      <c r="I145" s="8"/>
      <c r="J145" s="8"/>
      <c r="K145" s="8"/>
      <c r="L145" s="94"/>
      <c r="M145" s="8"/>
      <c r="N145" s="8"/>
      <c r="O145" s="8"/>
      <c r="P145" s="8"/>
      <c r="Q145" s="8"/>
      <c r="R145" s="8"/>
      <c r="S145" s="8"/>
      <c r="T145" s="8"/>
      <c r="U145" s="8"/>
      <c r="V145" s="8"/>
      <c r="W145" s="8"/>
      <c r="X145" s="8"/>
      <c r="Y145" s="8"/>
      <c r="Z145" s="8"/>
    </row>
    <row r="146" spans="1:26" ht="12.75" customHeight="1" x14ac:dyDescent="0.25">
      <c r="A146" s="133"/>
      <c r="B146" s="8"/>
      <c r="C146" s="8"/>
      <c r="D146" s="8"/>
      <c r="E146" s="8"/>
      <c r="F146" s="8"/>
      <c r="G146" s="8"/>
      <c r="H146" s="8"/>
      <c r="I146" s="8"/>
      <c r="J146" s="8"/>
      <c r="K146" s="8"/>
      <c r="L146" s="94"/>
      <c r="M146" s="8"/>
      <c r="N146" s="8"/>
      <c r="O146" s="8"/>
      <c r="P146" s="8"/>
      <c r="Q146" s="8"/>
      <c r="R146" s="8"/>
      <c r="S146" s="8"/>
      <c r="T146" s="8"/>
      <c r="U146" s="8"/>
      <c r="V146" s="8"/>
      <c r="W146" s="8"/>
      <c r="X146" s="8"/>
      <c r="Y146" s="8"/>
      <c r="Z146" s="8"/>
    </row>
    <row r="147" spans="1:26" ht="12.75" customHeight="1" x14ac:dyDescent="0.25">
      <c r="A147" s="133"/>
      <c r="B147" s="8"/>
      <c r="C147" s="8"/>
      <c r="D147" s="8"/>
      <c r="E147" s="8"/>
      <c r="F147" s="8"/>
      <c r="G147" s="8"/>
      <c r="H147" s="8"/>
      <c r="I147" s="8"/>
      <c r="J147" s="8"/>
      <c r="K147" s="8"/>
      <c r="L147" s="94"/>
      <c r="M147" s="8"/>
      <c r="N147" s="8"/>
      <c r="O147" s="8"/>
      <c r="P147" s="8"/>
      <c r="Q147" s="8"/>
      <c r="R147" s="8"/>
      <c r="S147" s="8"/>
      <c r="T147" s="8"/>
      <c r="U147" s="8"/>
      <c r="V147" s="8"/>
      <c r="W147" s="8"/>
      <c r="X147" s="8"/>
      <c r="Y147" s="8"/>
      <c r="Z147" s="8"/>
    </row>
    <row r="148" spans="1:26" ht="12.75" customHeight="1" x14ac:dyDescent="0.25">
      <c r="A148" s="133"/>
      <c r="B148" s="8"/>
      <c r="C148" s="8"/>
      <c r="D148" s="8"/>
      <c r="E148" s="8"/>
      <c r="F148" s="8"/>
      <c r="G148" s="8"/>
      <c r="H148" s="8"/>
      <c r="I148" s="8"/>
      <c r="J148" s="8"/>
      <c r="K148" s="8"/>
      <c r="L148" s="94"/>
      <c r="M148" s="8"/>
      <c r="N148" s="8"/>
      <c r="O148" s="8"/>
      <c r="P148" s="8"/>
      <c r="Q148" s="8"/>
      <c r="R148" s="8"/>
      <c r="S148" s="8"/>
      <c r="T148" s="8"/>
      <c r="U148" s="8"/>
      <c r="V148" s="8"/>
      <c r="W148" s="8"/>
      <c r="X148" s="8"/>
      <c r="Y148" s="8"/>
      <c r="Z148" s="8"/>
    </row>
    <row r="149" spans="1:26" ht="12.75" customHeight="1" x14ac:dyDescent="0.25">
      <c r="A149" s="133"/>
      <c r="B149" s="8"/>
      <c r="C149" s="8"/>
      <c r="D149" s="8"/>
      <c r="E149" s="8"/>
      <c r="F149" s="8"/>
      <c r="G149" s="8"/>
      <c r="H149" s="8"/>
      <c r="I149" s="8"/>
      <c r="J149" s="8"/>
      <c r="K149" s="8"/>
      <c r="L149" s="94"/>
      <c r="M149" s="8"/>
      <c r="N149" s="8"/>
      <c r="O149" s="8"/>
      <c r="P149" s="8"/>
      <c r="Q149" s="8"/>
      <c r="R149" s="8"/>
      <c r="S149" s="8"/>
      <c r="T149" s="8"/>
      <c r="U149" s="8"/>
      <c r="V149" s="8"/>
      <c r="W149" s="8"/>
      <c r="X149" s="8"/>
      <c r="Y149" s="8"/>
      <c r="Z149" s="8"/>
    </row>
    <row r="150" spans="1:26" ht="12.75" customHeight="1" x14ac:dyDescent="0.25">
      <c r="A150" s="133"/>
      <c r="B150" s="8"/>
      <c r="C150" s="8"/>
      <c r="D150" s="8"/>
      <c r="E150" s="8"/>
      <c r="F150" s="8"/>
      <c r="G150" s="8"/>
      <c r="H150" s="8"/>
      <c r="I150" s="8"/>
      <c r="J150" s="8"/>
      <c r="K150" s="8"/>
      <c r="L150" s="94"/>
      <c r="M150" s="8"/>
      <c r="N150" s="8"/>
      <c r="O150" s="8"/>
      <c r="P150" s="8"/>
      <c r="Q150" s="8"/>
      <c r="R150" s="8"/>
      <c r="S150" s="8"/>
      <c r="T150" s="8"/>
      <c r="U150" s="8"/>
      <c r="V150" s="8"/>
      <c r="W150" s="8"/>
      <c r="X150" s="8"/>
      <c r="Y150" s="8"/>
      <c r="Z150" s="8"/>
    </row>
    <row r="151" spans="1:26" ht="12.75" customHeight="1" x14ac:dyDescent="0.25">
      <c r="A151" s="133"/>
      <c r="B151" s="8"/>
      <c r="C151" s="8"/>
      <c r="D151" s="8"/>
      <c r="E151" s="8"/>
      <c r="F151" s="8"/>
      <c r="G151" s="8"/>
      <c r="H151" s="8"/>
      <c r="I151" s="8"/>
      <c r="J151" s="8"/>
      <c r="K151" s="8"/>
      <c r="L151" s="94"/>
      <c r="M151" s="8"/>
      <c r="N151" s="8"/>
      <c r="O151" s="8"/>
      <c r="P151" s="8"/>
      <c r="Q151" s="8"/>
      <c r="R151" s="8"/>
      <c r="S151" s="8"/>
      <c r="T151" s="8"/>
      <c r="U151" s="8"/>
      <c r="V151" s="8"/>
      <c r="W151" s="8"/>
      <c r="X151" s="8"/>
      <c r="Y151" s="8"/>
      <c r="Z151" s="8"/>
    </row>
    <row r="152" spans="1:26" ht="12.75" customHeight="1" x14ac:dyDescent="0.25">
      <c r="A152" s="133"/>
      <c r="B152" s="8"/>
      <c r="C152" s="8"/>
      <c r="D152" s="8"/>
      <c r="E152" s="8"/>
      <c r="F152" s="8"/>
      <c r="G152" s="8"/>
      <c r="H152" s="8"/>
      <c r="I152" s="8"/>
      <c r="J152" s="8"/>
      <c r="K152" s="8"/>
      <c r="L152" s="94"/>
      <c r="M152" s="8"/>
      <c r="N152" s="8"/>
      <c r="O152" s="8"/>
      <c r="P152" s="8"/>
      <c r="Q152" s="8"/>
      <c r="R152" s="8"/>
      <c r="S152" s="8"/>
      <c r="T152" s="8"/>
      <c r="U152" s="8"/>
      <c r="V152" s="8"/>
      <c r="W152" s="8"/>
      <c r="X152" s="8"/>
      <c r="Y152" s="8"/>
      <c r="Z152" s="8"/>
    </row>
    <row r="153" spans="1:26" ht="12.75" customHeight="1" x14ac:dyDescent="0.25">
      <c r="A153" s="133"/>
      <c r="B153" s="8"/>
      <c r="C153" s="8"/>
      <c r="D153" s="8"/>
      <c r="E153" s="8"/>
      <c r="F153" s="8"/>
      <c r="G153" s="8"/>
      <c r="H153" s="8"/>
      <c r="I153" s="8"/>
      <c r="J153" s="8"/>
      <c r="K153" s="8"/>
      <c r="L153" s="94"/>
      <c r="M153" s="8"/>
      <c r="N153" s="8"/>
      <c r="O153" s="8"/>
      <c r="P153" s="8"/>
      <c r="Q153" s="8"/>
      <c r="R153" s="8"/>
      <c r="S153" s="8"/>
      <c r="T153" s="8"/>
      <c r="U153" s="8"/>
      <c r="V153" s="8"/>
      <c r="W153" s="8"/>
      <c r="X153" s="8"/>
      <c r="Y153" s="8"/>
      <c r="Z153" s="8"/>
    </row>
    <row r="154" spans="1:26" ht="12.75" customHeight="1" x14ac:dyDescent="0.25">
      <c r="A154" s="133"/>
      <c r="B154" s="8"/>
      <c r="C154" s="8"/>
      <c r="D154" s="8"/>
      <c r="E154" s="8"/>
      <c r="F154" s="8"/>
      <c r="G154" s="8"/>
      <c r="H154" s="8"/>
      <c r="I154" s="8"/>
      <c r="J154" s="8"/>
      <c r="K154" s="8"/>
      <c r="L154" s="94"/>
      <c r="M154" s="8"/>
      <c r="N154" s="8"/>
      <c r="O154" s="8"/>
      <c r="P154" s="8"/>
      <c r="Q154" s="8"/>
      <c r="R154" s="8"/>
      <c r="S154" s="8"/>
      <c r="T154" s="8"/>
      <c r="U154" s="8"/>
      <c r="V154" s="8"/>
      <c r="W154" s="8"/>
      <c r="X154" s="8"/>
      <c r="Y154" s="8"/>
      <c r="Z154" s="8"/>
    </row>
    <row r="155" spans="1:26" ht="12.75" customHeight="1" x14ac:dyDescent="0.25">
      <c r="A155" s="133"/>
      <c r="B155" s="8"/>
      <c r="C155" s="8"/>
      <c r="D155" s="8"/>
      <c r="E155" s="8"/>
      <c r="F155" s="8"/>
      <c r="G155" s="8"/>
      <c r="H155" s="8"/>
      <c r="I155" s="8"/>
      <c r="J155" s="8"/>
      <c r="K155" s="8"/>
      <c r="L155" s="94"/>
      <c r="M155" s="8"/>
      <c r="N155" s="8"/>
      <c r="O155" s="8"/>
      <c r="P155" s="8"/>
      <c r="Q155" s="8"/>
      <c r="R155" s="8"/>
      <c r="S155" s="8"/>
      <c r="T155" s="8"/>
      <c r="U155" s="8"/>
      <c r="V155" s="8"/>
      <c r="W155" s="8"/>
      <c r="X155" s="8"/>
      <c r="Y155" s="8"/>
      <c r="Z155" s="8"/>
    </row>
    <row r="156" spans="1:26" ht="12.75" customHeight="1" x14ac:dyDescent="0.25">
      <c r="A156" s="133"/>
      <c r="B156" s="8"/>
      <c r="C156" s="8"/>
      <c r="D156" s="8"/>
      <c r="E156" s="8"/>
      <c r="F156" s="8"/>
      <c r="G156" s="8"/>
      <c r="H156" s="8"/>
      <c r="I156" s="8"/>
      <c r="J156" s="8"/>
      <c r="K156" s="8"/>
      <c r="L156" s="94"/>
      <c r="M156" s="8"/>
      <c r="N156" s="8"/>
      <c r="O156" s="8"/>
      <c r="P156" s="8"/>
      <c r="Q156" s="8"/>
      <c r="R156" s="8"/>
      <c r="S156" s="8"/>
      <c r="T156" s="8"/>
      <c r="U156" s="8"/>
      <c r="V156" s="8"/>
      <c r="W156" s="8"/>
      <c r="X156" s="8"/>
      <c r="Y156" s="8"/>
      <c r="Z156" s="8"/>
    </row>
    <row r="157" spans="1:26" ht="12.75" customHeight="1" x14ac:dyDescent="0.25">
      <c r="A157" s="133"/>
      <c r="B157" s="8"/>
      <c r="C157" s="8"/>
      <c r="D157" s="8"/>
      <c r="E157" s="8"/>
      <c r="F157" s="8"/>
      <c r="G157" s="8"/>
      <c r="H157" s="8"/>
      <c r="I157" s="8"/>
      <c r="J157" s="8"/>
      <c r="K157" s="8"/>
      <c r="L157" s="94"/>
      <c r="M157" s="8"/>
      <c r="N157" s="8"/>
      <c r="O157" s="8"/>
      <c r="P157" s="8"/>
      <c r="Q157" s="8"/>
      <c r="R157" s="8"/>
      <c r="S157" s="8"/>
      <c r="T157" s="8"/>
      <c r="U157" s="8"/>
      <c r="V157" s="8"/>
      <c r="W157" s="8"/>
      <c r="X157" s="8"/>
      <c r="Y157" s="8"/>
      <c r="Z157" s="8"/>
    </row>
    <row r="158" spans="1:26" ht="12.75" customHeight="1" x14ac:dyDescent="0.25">
      <c r="A158" s="133"/>
      <c r="B158" s="8"/>
      <c r="C158" s="8"/>
      <c r="D158" s="8"/>
      <c r="E158" s="8"/>
      <c r="F158" s="8"/>
      <c r="G158" s="8"/>
      <c r="H158" s="8"/>
      <c r="I158" s="8"/>
      <c r="J158" s="8"/>
      <c r="K158" s="8"/>
      <c r="L158" s="94"/>
      <c r="M158" s="8"/>
      <c r="N158" s="8"/>
      <c r="O158" s="8"/>
      <c r="P158" s="8"/>
      <c r="Q158" s="8"/>
      <c r="R158" s="8"/>
      <c r="S158" s="8"/>
      <c r="T158" s="8"/>
      <c r="U158" s="8"/>
      <c r="V158" s="8"/>
      <c r="W158" s="8"/>
      <c r="X158" s="8"/>
      <c r="Y158" s="8"/>
      <c r="Z158" s="8"/>
    </row>
    <row r="159" spans="1:26" ht="12.75" customHeight="1" x14ac:dyDescent="0.25">
      <c r="A159" s="133"/>
      <c r="B159" s="8"/>
      <c r="C159" s="8"/>
      <c r="D159" s="8"/>
      <c r="E159" s="8"/>
      <c r="F159" s="8"/>
      <c r="G159" s="8"/>
      <c r="H159" s="8"/>
      <c r="I159" s="8"/>
      <c r="J159" s="8"/>
      <c r="K159" s="8"/>
      <c r="L159" s="94"/>
      <c r="M159" s="8"/>
      <c r="N159" s="8"/>
      <c r="O159" s="8"/>
      <c r="P159" s="8"/>
      <c r="Q159" s="8"/>
      <c r="R159" s="8"/>
      <c r="S159" s="8"/>
      <c r="T159" s="8"/>
      <c r="U159" s="8"/>
      <c r="V159" s="8"/>
      <c r="W159" s="8"/>
      <c r="X159" s="8"/>
      <c r="Y159" s="8"/>
      <c r="Z159" s="8"/>
    </row>
    <row r="160" spans="1:26" ht="12.75" customHeight="1" x14ac:dyDescent="0.25">
      <c r="A160" s="133"/>
      <c r="B160" s="8"/>
      <c r="C160" s="8"/>
      <c r="D160" s="8"/>
      <c r="E160" s="8"/>
      <c r="F160" s="8"/>
      <c r="G160" s="8"/>
      <c r="H160" s="8"/>
      <c r="I160" s="8"/>
      <c r="J160" s="8"/>
      <c r="K160" s="8"/>
      <c r="L160" s="94"/>
      <c r="M160" s="8"/>
      <c r="N160" s="8"/>
      <c r="O160" s="8"/>
      <c r="P160" s="8"/>
      <c r="Q160" s="8"/>
      <c r="R160" s="8"/>
      <c r="S160" s="8"/>
      <c r="T160" s="8"/>
      <c r="U160" s="8"/>
      <c r="V160" s="8"/>
      <c r="W160" s="8"/>
      <c r="X160" s="8"/>
      <c r="Y160" s="8"/>
      <c r="Z160" s="8"/>
    </row>
    <row r="161" spans="1:26" ht="12.75" customHeight="1" x14ac:dyDescent="0.25">
      <c r="A161" s="133"/>
      <c r="B161" s="8"/>
      <c r="C161" s="8"/>
      <c r="D161" s="8"/>
      <c r="E161" s="8"/>
      <c r="F161" s="8"/>
      <c r="G161" s="8"/>
      <c r="H161" s="8"/>
      <c r="I161" s="8"/>
      <c r="J161" s="8"/>
      <c r="K161" s="8"/>
      <c r="L161" s="94"/>
      <c r="M161" s="8"/>
      <c r="N161" s="8"/>
      <c r="O161" s="8"/>
      <c r="P161" s="8"/>
      <c r="Q161" s="8"/>
      <c r="R161" s="8"/>
      <c r="S161" s="8"/>
      <c r="T161" s="8"/>
      <c r="U161" s="8"/>
      <c r="V161" s="8"/>
      <c r="W161" s="8"/>
      <c r="X161" s="8"/>
      <c r="Y161" s="8"/>
      <c r="Z161" s="8"/>
    </row>
    <row r="162" spans="1:26" ht="12.75" customHeight="1" x14ac:dyDescent="0.25">
      <c r="A162" s="133"/>
      <c r="B162" s="8"/>
      <c r="C162" s="8"/>
      <c r="D162" s="8"/>
      <c r="E162" s="8"/>
      <c r="F162" s="8"/>
      <c r="G162" s="8"/>
      <c r="H162" s="8"/>
      <c r="I162" s="8"/>
      <c r="J162" s="8"/>
      <c r="K162" s="8"/>
      <c r="L162" s="94"/>
      <c r="M162" s="8"/>
      <c r="N162" s="8"/>
      <c r="O162" s="8"/>
      <c r="P162" s="8"/>
      <c r="Q162" s="8"/>
      <c r="R162" s="8"/>
      <c r="S162" s="8"/>
      <c r="T162" s="8"/>
      <c r="U162" s="8"/>
      <c r="V162" s="8"/>
      <c r="W162" s="8"/>
      <c r="X162" s="8"/>
      <c r="Y162" s="8"/>
      <c r="Z162" s="8"/>
    </row>
    <row r="163" spans="1:26" ht="12.75" customHeight="1" x14ac:dyDescent="0.25">
      <c r="A163" s="133"/>
      <c r="B163" s="8"/>
      <c r="C163" s="8"/>
      <c r="D163" s="8"/>
      <c r="E163" s="8"/>
      <c r="F163" s="8"/>
      <c r="G163" s="8"/>
      <c r="H163" s="8"/>
      <c r="I163" s="8"/>
      <c r="J163" s="8"/>
      <c r="K163" s="8"/>
      <c r="L163" s="94"/>
      <c r="M163" s="8"/>
      <c r="N163" s="8"/>
      <c r="O163" s="8"/>
      <c r="P163" s="8"/>
      <c r="Q163" s="8"/>
      <c r="R163" s="8"/>
      <c r="S163" s="8"/>
      <c r="T163" s="8"/>
      <c r="U163" s="8"/>
      <c r="V163" s="8"/>
      <c r="W163" s="8"/>
      <c r="X163" s="8"/>
      <c r="Y163" s="8"/>
      <c r="Z163" s="8"/>
    </row>
    <row r="164" spans="1:26" ht="12.75" customHeight="1" x14ac:dyDescent="0.25">
      <c r="A164" s="133"/>
      <c r="B164" s="8"/>
      <c r="C164" s="8"/>
      <c r="D164" s="8"/>
      <c r="E164" s="8"/>
      <c r="F164" s="8"/>
      <c r="G164" s="8"/>
      <c r="H164" s="8"/>
      <c r="I164" s="8"/>
      <c r="J164" s="8"/>
      <c r="K164" s="8"/>
      <c r="L164" s="94"/>
      <c r="M164" s="8"/>
      <c r="N164" s="8"/>
      <c r="O164" s="8"/>
      <c r="P164" s="8"/>
      <c r="Q164" s="8"/>
      <c r="R164" s="8"/>
      <c r="S164" s="8"/>
      <c r="T164" s="8"/>
      <c r="U164" s="8"/>
      <c r="V164" s="8"/>
      <c r="W164" s="8"/>
      <c r="X164" s="8"/>
      <c r="Y164" s="8"/>
      <c r="Z164" s="8"/>
    </row>
    <row r="165" spans="1:26" ht="12.75" customHeight="1" x14ac:dyDescent="0.25">
      <c r="A165" s="133"/>
      <c r="B165" s="8"/>
      <c r="C165" s="8"/>
      <c r="D165" s="8"/>
      <c r="E165" s="8"/>
      <c r="F165" s="8"/>
      <c r="G165" s="8"/>
      <c r="H165" s="8"/>
      <c r="I165" s="8"/>
      <c r="J165" s="8"/>
      <c r="K165" s="8"/>
      <c r="L165" s="94"/>
      <c r="M165" s="8"/>
      <c r="N165" s="8"/>
      <c r="O165" s="8"/>
      <c r="P165" s="8"/>
      <c r="Q165" s="8"/>
      <c r="R165" s="8"/>
      <c r="S165" s="8"/>
      <c r="T165" s="8"/>
      <c r="U165" s="8"/>
      <c r="V165" s="8"/>
      <c r="W165" s="8"/>
      <c r="X165" s="8"/>
      <c r="Y165" s="8"/>
      <c r="Z165" s="8"/>
    </row>
    <row r="166" spans="1:26" ht="12.75" customHeight="1" x14ac:dyDescent="0.25">
      <c r="A166" s="133"/>
      <c r="B166" s="8"/>
      <c r="C166" s="8"/>
      <c r="D166" s="8"/>
      <c r="E166" s="8"/>
      <c r="F166" s="8"/>
      <c r="G166" s="8"/>
      <c r="H166" s="8"/>
      <c r="I166" s="8"/>
      <c r="J166" s="8"/>
      <c r="K166" s="8"/>
      <c r="L166" s="94"/>
      <c r="M166" s="8"/>
      <c r="N166" s="8"/>
      <c r="O166" s="8"/>
      <c r="P166" s="8"/>
      <c r="Q166" s="8"/>
      <c r="R166" s="8"/>
      <c r="S166" s="8"/>
      <c r="T166" s="8"/>
      <c r="U166" s="8"/>
      <c r="V166" s="8"/>
      <c r="W166" s="8"/>
      <c r="X166" s="8"/>
      <c r="Y166" s="8"/>
      <c r="Z166" s="8"/>
    </row>
    <row r="167" spans="1:26" ht="12.75" customHeight="1" x14ac:dyDescent="0.25">
      <c r="A167" s="133"/>
      <c r="B167" s="8"/>
      <c r="C167" s="8"/>
      <c r="D167" s="8"/>
      <c r="E167" s="8"/>
      <c r="F167" s="8"/>
      <c r="G167" s="8"/>
      <c r="H167" s="8"/>
      <c r="I167" s="8"/>
      <c r="J167" s="8"/>
      <c r="K167" s="8"/>
      <c r="L167" s="94"/>
      <c r="M167" s="8"/>
      <c r="N167" s="8"/>
      <c r="O167" s="8"/>
      <c r="P167" s="8"/>
      <c r="Q167" s="8"/>
      <c r="R167" s="8"/>
      <c r="S167" s="8"/>
      <c r="T167" s="8"/>
      <c r="U167" s="8"/>
      <c r="V167" s="8"/>
      <c r="W167" s="8"/>
      <c r="X167" s="8"/>
      <c r="Y167" s="8"/>
      <c r="Z167" s="8"/>
    </row>
    <row r="168" spans="1:26" ht="12.75" customHeight="1" x14ac:dyDescent="0.25">
      <c r="A168" s="133"/>
      <c r="B168" s="8"/>
      <c r="C168" s="8"/>
      <c r="D168" s="8"/>
      <c r="E168" s="8"/>
      <c r="F168" s="8"/>
      <c r="G168" s="8"/>
      <c r="H168" s="8"/>
      <c r="I168" s="8"/>
      <c r="J168" s="8"/>
      <c r="K168" s="8"/>
      <c r="L168" s="94"/>
      <c r="M168" s="8"/>
      <c r="N168" s="8"/>
      <c r="O168" s="8"/>
      <c r="P168" s="8"/>
      <c r="Q168" s="8"/>
      <c r="R168" s="8"/>
      <c r="S168" s="8"/>
      <c r="T168" s="8"/>
      <c r="U168" s="8"/>
      <c r="V168" s="8"/>
      <c r="W168" s="8"/>
      <c r="X168" s="8"/>
      <c r="Y168" s="8"/>
      <c r="Z168" s="8"/>
    </row>
    <row r="169" spans="1:26" ht="12.75" customHeight="1" x14ac:dyDescent="0.25">
      <c r="A169" s="133"/>
      <c r="B169" s="8"/>
      <c r="C169" s="8"/>
      <c r="D169" s="8"/>
      <c r="E169" s="8"/>
      <c r="F169" s="8"/>
      <c r="G169" s="8"/>
      <c r="H169" s="8"/>
      <c r="I169" s="8"/>
      <c r="J169" s="8"/>
      <c r="K169" s="8"/>
      <c r="L169" s="94"/>
      <c r="M169" s="8"/>
      <c r="N169" s="8"/>
      <c r="O169" s="8"/>
      <c r="P169" s="8"/>
      <c r="Q169" s="8"/>
      <c r="R169" s="8"/>
      <c r="S169" s="8"/>
      <c r="T169" s="8"/>
      <c r="U169" s="8"/>
      <c r="V169" s="8"/>
      <c r="W169" s="8"/>
      <c r="X169" s="8"/>
      <c r="Y169" s="8"/>
      <c r="Z169" s="8"/>
    </row>
    <row r="170" spans="1:26" ht="12.75" customHeight="1" x14ac:dyDescent="0.25">
      <c r="A170" s="133"/>
      <c r="B170" s="8"/>
      <c r="C170" s="8"/>
      <c r="D170" s="8"/>
      <c r="E170" s="8"/>
      <c r="F170" s="8"/>
      <c r="G170" s="8"/>
      <c r="H170" s="8"/>
      <c r="I170" s="8"/>
      <c r="J170" s="8"/>
      <c r="K170" s="8"/>
      <c r="L170" s="94"/>
      <c r="M170" s="8"/>
      <c r="N170" s="8"/>
      <c r="O170" s="8"/>
      <c r="P170" s="8"/>
      <c r="Q170" s="8"/>
      <c r="R170" s="8"/>
      <c r="S170" s="8"/>
      <c r="T170" s="8"/>
      <c r="U170" s="8"/>
      <c r="V170" s="8"/>
      <c r="W170" s="8"/>
      <c r="X170" s="8"/>
      <c r="Y170" s="8"/>
      <c r="Z170" s="8"/>
    </row>
    <row r="171" spans="1:26" ht="12.75" customHeight="1" x14ac:dyDescent="0.25">
      <c r="A171" s="133"/>
      <c r="B171" s="8"/>
      <c r="C171" s="8"/>
      <c r="D171" s="8"/>
      <c r="E171" s="8"/>
      <c r="F171" s="8"/>
      <c r="G171" s="8"/>
      <c r="H171" s="8"/>
      <c r="I171" s="8"/>
      <c r="J171" s="8"/>
      <c r="K171" s="8"/>
      <c r="L171" s="94"/>
      <c r="M171" s="8"/>
      <c r="N171" s="8"/>
      <c r="O171" s="8"/>
      <c r="P171" s="8"/>
      <c r="Q171" s="8"/>
      <c r="R171" s="8"/>
      <c r="S171" s="8"/>
      <c r="T171" s="8"/>
      <c r="U171" s="8"/>
      <c r="V171" s="8"/>
      <c r="W171" s="8"/>
      <c r="X171" s="8"/>
      <c r="Y171" s="8"/>
      <c r="Z171" s="8"/>
    </row>
    <row r="172" spans="1:26" ht="12.75" customHeight="1" x14ac:dyDescent="0.25">
      <c r="A172" s="133"/>
      <c r="B172" s="8"/>
      <c r="C172" s="8"/>
      <c r="D172" s="8"/>
      <c r="E172" s="8"/>
      <c r="F172" s="8"/>
      <c r="G172" s="8"/>
      <c r="H172" s="8"/>
      <c r="I172" s="8"/>
      <c r="J172" s="8"/>
      <c r="K172" s="8"/>
      <c r="L172" s="94"/>
      <c r="M172" s="8"/>
      <c r="N172" s="8"/>
      <c r="O172" s="8"/>
      <c r="P172" s="8"/>
      <c r="Q172" s="8"/>
      <c r="R172" s="8"/>
      <c r="S172" s="8"/>
      <c r="T172" s="8"/>
      <c r="U172" s="8"/>
      <c r="V172" s="8"/>
      <c r="W172" s="8"/>
      <c r="X172" s="8"/>
      <c r="Y172" s="8"/>
      <c r="Z172" s="8"/>
    </row>
    <row r="173" spans="1:26" ht="12.75" customHeight="1" x14ac:dyDescent="0.25">
      <c r="A173" s="133"/>
      <c r="B173" s="8"/>
      <c r="C173" s="8"/>
      <c r="D173" s="8"/>
      <c r="E173" s="8"/>
      <c r="F173" s="8"/>
      <c r="G173" s="8"/>
      <c r="H173" s="8"/>
      <c r="I173" s="8"/>
      <c r="J173" s="8"/>
      <c r="K173" s="8"/>
      <c r="L173" s="94"/>
      <c r="M173" s="8"/>
      <c r="N173" s="8"/>
      <c r="O173" s="8"/>
      <c r="P173" s="8"/>
      <c r="Q173" s="8"/>
      <c r="R173" s="8"/>
      <c r="S173" s="8"/>
      <c r="T173" s="8"/>
      <c r="U173" s="8"/>
      <c r="V173" s="8"/>
      <c r="W173" s="8"/>
      <c r="X173" s="8"/>
      <c r="Y173" s="8"/>
      <c r="Z173" s="8"/>
    </row>
    <row r="174" spans="1:26" ht="12.75" customHeight="1" x14ac:dyDescent="0.25">
      <c r="A174" s="133"/>
      <c r="B174" s="8"/>
      <c r="C174" s="8"/>
      <c r="D174" s="8"/>
      <c r="E174" s="8"/>
      <c r="F174" s="8"/>
      <c r="G174" s="8"/>
      <c r="H174" s="8"/>
      <c r="I174" s="8"/>
      <c r="J174" s="8"/>
      <c r="K174" s="8"/>
      <c r="L174" s="94"/>
      <c r="M174" s="8"/>
      <c r="N174" s="8"/>
      <c r="O174" s="8"/>
      <c r="P174" s="8"/>
      <c r="Q174" s="8"/>
      <c r="R174" s="8"/>
      <c r="S174" s="8"/>
      <c r="T174" s="8"/>
      <c r="U174" s="8"/>
      <c r="V174" s="8"/>
      <c r="W174" s="8"/>
      <c r="X174" s="8"/>
      <c r="Y174" s="8"/>
      <c r="Z174" s="8"/>
    </row>
    <row r="175" spans="1:26" ht="12.75" customHeight="1" x14ac:dyDescent="0.25">
      <c r="A175" s="133"/>
      <c r="B175" s="8"/>
      <c r="C175" s="8"/>
      <c r="D175" s="8"/>
      <c r="E175" s="8"/>
      <c r="F175" s="8"/>
      <c r="G175" s="8"/>
      <c r="H175" s="8"/>
      <c r="I175" s="8"/>
      <c r="J175" s="8"/>
      <c r="K175" s="8"/>
      <c r="L175" s="94"/>
      <c r="M175" s="8"/>
      <c r="N175" s="8"/>
      <c r="O175" s="8"/>
      <c r="P175" s="8"/>
      <c r="Q175" s="8"/>
      <c r="R175" s="8"/>
      <c r="S175" s="8"/>
      <c r="T175" s="8"/>
      <c r="U175" s="8"/>
      <c r="V175" s="8"/>
      <c r="W175" s="8"/>
      <c r="X175" s="8"/>
      <c r="Y175" s="8"/>
      <c r="Z175" s="8"/>
    </row>
    <row r="176" spans="1:26" ht="12.75" customHeight="1" x14ac:dyDescent="0.25">
      <c r="A176" s="133"/>
      <c r="B176" s="8"/>
      <c r="C176" s="8"/>
      <c r="D176" s="8"/>
      <c r="E176" s="8"/>
      <c r="F176" s="8"/>
      <c r="G176" s="8"/>
      <c r="H176" s="8"/>
      <c r="I176" s="8"/>
      <c r="J176" s="8"/>
      <c r="K176" s="8"/>
      <c r="L176" s="94"/>
      <c r="M176" s="8"/>
      <c r="N176" s="8"/>
      <c r="O176" s="8"/>
      <c r="P176" s="8"/>
      <c r="Q176" s="8"/>
      <c r="R176" s="8"/>
      <c r="S176" s="8"/>
      <c r="T176" s="8"/>
      <c r="U176" s="8"/>
      <c r="V176" s="8"/>
      <c r="W176" s="8"/>
      <c r="X176" s="8"/>
      <c r="Y176" s="8"/>
      <c r="Z176" s="8"/>
    </row>
    <row r="177" spans="1:26" ht="12.75" customHeight="1" x14ac:dyDescent="0.25">
      <c r="A177" s="133"/>
      <c r="B177" s="8"/>
      <c r="C177" s="8"/>
      <c r="D177" s="8"/>
      <c r="E177" s="8"/>
      <c r="F177" s="8"/>
      <c r="G177" s="8"/>
      <c r="H177" s="8"/>
      <c r="I177" s="8"/>
      <c r="J177" s="8"/>
      <c r="K177" s="8"/>
      <c r="L177" s="94"/>
      <c r="M177" s="8"/>
      <c r="N177" s="8"/>
      <c r="O177" s="8"/>
      <c r="P177" s="8"/>
      <c r="Q177" s="8"/>
      <c r="R177" s="8"/>
      <c r="S177" s="8"/>
      <c r="T177" s="8"/>
      <c r="U177" s="8"/>
      <c r="V177" s="8"/>
      <c r="W177" s="8"/>
      <c r="X177" s="8"/>
      <c r="Y177" s="8"/>
      <c r="Z177" s="8"/>
    </row>
    <row r="178" spans="1:26" ht="12.75" customHeight="1" x14ac:dyDescent="0.25">
      <c r="A178" s="133"/>
      <c r="B178" s="8"/>
      <c r="C178" s="8"/>
      <c r="D178" s="8"/>
      <c r="E178" s="8"/>
      <c r="F178" s="8"/>
      <c r="G178" s="8"/>
      <c r="H178" s="8"/>
      <c r="I178" s="8"/>
      <c r="J178" s="8"/>
      <c r="K178" s="8"/>
      <c r="L178" s="94"/>
      <c r="M178" s="8"/>
      <c r="N178" s="8"/>
      <c r="O178" s="8"/>
      <c r="P178" s="8"/>
      <c r="Q178" s="8"/>
      <c r="R178" s="8"/>
      <c r="S178" s="8"/>
      <c r="T178" s="8"/>
      <c r="U178" s="8"/>
      <c r="V178" s="8"/>
      <c r="W178" s="8"/>
      <c r="X178" s="8"/>
      <c r="Y178" s="8"/>
      <c r="Z178" s="8"/>
    </row>
    <row r="179" spans="1:26" ht="12.75" customHeight="1" x14ac:dyDescent="0.25">
      <c r="A179" s="133"/>
      <c r="B179" s="8"/>
      <c r="C179" s="8"/>
      <c r="D179" s="8"/>
      <c r="E179" s="8"/>
      <c r="F179" s="8"/>
      <c r="G179" s="8"/>
      <c r="H179" s="8"/>
      <c r="I179" s="8"/>
      <c r="J179" s="8"/>
      <c r="K179" s="8"/>
      <c r="L179" s="94"/>
      <c r="M179" s="8"/>
      <c r="N179" s="8"/>
      <c r="O179" s="8"/>
      <c r="P179" s="8"/>
      <c r="Q179" s="8"/>
      <c r="R179" s="8"/>
      <c r="S179" s="8"/>
      <c r="T179" s="8"/>
      <c r="U179" s="8"/>
      <c r="V179" s="8"/>
      <c r="W179" s="8"/>
      <c r="X179" s="8"/>
      <c r="Y179" s="8"/>
      <c r="Z179" s="8"/>
    </row>
    <row r="180" spans="1:26" ht="12.75" customHeight="1" x14ac:dyDescent="0.25">
      <c r="A180" s="133"/>
      <c r="B180" s="8"/>
      <c r="C180" s="8"/>
      <c r="D180" s="8"/>
      <c r="E180" s="8"/>
      <c r="F180" s="8"/>
      <c r="G180" s="8"/>
      <c r="H180" s="8"/>
      <c r="I180" s="8"/>
      <c r="J180" s="8"/>
      <c r="K180" s="8"/>
      <c r="L180" s="94"/>
      <c r="M180" s="8"/>
      <c r="N180" s="8"/>
      <c r="O180" s="8"/>
      <c r="P180" s="8"/>
      <c r="Q180" s="8"/>
      <c r="R180" s="8"/>
      <c r="S180" s="8"/>
      <c r="T180" s="8"/>
      <c r="U180" s="8"/>
      <c r="V180" s="8"/>
      <c r="W180" s="8"/>
      <c r="X180" s="8"/>
      <c r="Y180" s="8"/>
      <c r="Z180" s="8"/>
    </row>
    <row r="181" spans="1:26" ht="12.75" customHeight="1" x14ac:dyDescent="0.25">
      <c r="A181" s="133"/>
      <c r="B181" s="8"/>
      <c r="C181" s="8"/>
      <c r="D181" s="8"/>
      <c r="E181" s="8"/>
      <c r="F181" s="8"/>
      <c r="G181" s="8"/>
      <c r="H181" s="8"/>
      <c r="I181" s="8"/>
      <c r="J181" s="8"/>
      <c r="K181" s="8"/>
      <c r="L181" s="94"/>
      <c r="M181" s="8"/>
      <c r="N181" s="8"/>
      <c r="O181" s="8"/>
      <c r="P181" s="8"/>
      <c r="Q181" s="8"/>
      <c r="R181" s="8"/>
      <c r="S181" s="8"/>
      <c r="T181" s="8"/>
      <c r="U181" s="8"/>
      <c r="V181" s="8"/>
      <c r="W181" s="8"/>
      <c r="X181" s="8"/>
      <c r="Y181" s="8"/>
      <c r="Z181" s="8"/>
    </row>
    <row r="182" spans="1:26" ht="12.75" customHeight="1" x14ac:dyDescent="0.25">
      <c r="A182" s="133"/>
      <c r="B182" s="8"/>
      <c r="C182" s="8"/>
      <c r="D182" s="8"/>
      <c r="E182" s="8"/>
      <c r="F182" s="8"/>
      <c r="G182" s="8"/>
      <c r="H182" s="8"/>
      <c r="I182" s="8"/>
      <c r="J182" s="8"/>
      <c r="K182" s="8"/>
      <c r="L182" s="94"/>
      <c r="M182" s="8"/>
      <c r="N182" s="8"/>
      <c r="O182" s="8"/>
      <c r="P182" s="8"/>
      <c r="Q182" s="8"/>
      <c r="R182" s="8"/>
      <c r="S182" s="8"/>
      <c r="T182" s="8"/>
      <c r="U182" s="8"/>
      <c r="V182" s="8"/>
      <c r="W182" s="8"/>
      <c r="X182" s="8"/>
      <c r="Y182" s="8"/>
      <c r="Z182" s="8"/>
    </row>
    <row r="183" spans="1:26" ht="12.75" customHeight="1" x14ac:dyDescent="0.25">
      <c r="A183" s="133"/>
      <c r="B183" s="8"/>
      <c r="C183" s="8"/>
      <c r="D183" s="8"/>
      <c r="E183" s="8"/>
      <c r="F183" s="8"/>
      <c r="G183" s="8"/>
      <c r="H183" s="8"/>
      <c r="I183" s="8"/>
      <c r="J183" s="8"/>
      <c r="K183" s="8"/>
      <c r="L183" s="94"/>
      <c r="M183" s="8"/>
      <c r="N183" s="8"/>
      <c r="O183" s="8"/>
      <c r="P183" s="8"/>
      <c r="Q183" s="8"/>
      <c r="R183" s="8"/>
      <c r="S183" s="8"/>
      <c r="T183" s="8"/>
      <c r="U183" s="8"/>
      <c r="V183" s="8"/>
      <c r="W183" s="8"/>
      <c r="X183" s="8"/>
      <c r="Y183" s="8"/>
      <c r="Z183" s="8"/>
    </row>
    <row r="184" spans="1:26" ht="12.75" customHeight="1" x14ac:dyDescent="0.25">
      <c r="A184" s="133"/>
      <c r="B184" s="8"/>
      <c r="C184" s="8"/>
      <c r="D184" s="8"/>
      <c r="E184" s="8"/>
      <c r="F184" s="8"/>
      <c r="G184" s="8"/>
      <c r="H184" s="8"/>
      <c r="I184" s="8"/>
      <c r="J184" s="8"/>
      <c r="K184" s="8"/>
      <c r="L184" s="94"/>
      <c r="M184" s="8"/>
      <c r="N184" s="8"/>
      <c r="O184" s="8"/>
      <c r="P184" s="8"/>
      <c r="Q184" s="8"/>
      <c r="R184" s="8"/>
      <c r="S184" s="8"/>
      <c r="T184" s="8"/>
      <c r="U184" s="8"/>
      <c r="V184" s="8"/>
      <c r="W184" s="8"/>
      <c r="X184" s="8"/>
      <c r="Y184" s="8"/>
      <c r="Z184" s="8"/>
    </row>
    <row r="185" spans="1:26" ht="12.75" customHeight="1" x14ac:dyDescent="0.25">
      <c r="A185" s="133"/>
      <c r="B185" s="8"/>
      <c r="C185" s="8"/>
      <c r="D185" s="8"/>
      <c r="E185" s="8"/>
      <c r="F185" s="8"/>
      <c r="G185" s="8"/>
      <c r="H185" s="8"/>
      <c r="I185" s="8"/>
      <c r="J185" s="8"/>
      <c r="K185" s="8"/>
      <c r="L185" s="94"/>
      <c r="M185" s="8"/>
      <c r="N185" s="8"/>
      <c r="O185" s="8"/>
      <c r="P185" s="8"/>
      <c r="Q185" s="8"/>
      <c r="R185" s="8"/>
      <c r="S185" s="8"/>
      <c r="T185" s="8"/>
      <c r="U185" s="8"/>
      <c r="V185" s="8"/>
      <c r="W185" s="8"/>
      <c r="X185" s="8"/>
      <c r="Y185" s="8"/>
      <c r="Z185" s="8"/>
    </row>
    <row r="186" spans="1:26" ht="12.75" customHeight="1" x14ac:dyDescent="0.25">
      <c r="A186" s="133"/>
      <c r="B186" s="8"/>
      <c r="C186" s="8"/>
      <c r="D186" s="8"/>
      <c r="E186" s="8"/>
      <c r="F186" s="8"/>
      <c r="G186" s="8"/>
      <c r="H186" s="8"/>
      <c r="I186" s="8"/>
      <c r="J186" s="8"/>
      <c r="K186" s="8"/>
      <c r="L186" s="94"/>
      <c r="M186" s="8"/>
      <c r="N186" s="8"/>
      <c r="O186" s="8"/>
      <c r="P186" s="8"/>
      <c r="Q186" s="8"/>
      <c r="R186" s="8"/>
      <c r="S186" s="8"/>
      <c r="T186" s="8"/>
      <c r="U186" s="8"/>
      <c r="V186" s="8"/>
      <c r="W186" s="8"/>
      <c r="X186" s="8"/>
      <c r="Y186" s="8"/>
      <c r="Z186" s="8"/>
    </row>
    <row r="187" spans="1:26" ht="12.75" customHeight="1" x14ac:dyDescent="0.25">
      <c r="A187" s="133"/>
      <c r="B187" s="8"/>
      <c r="C187" s="8"/>
      <c r="D187" s="8"/>
      <c r="E187" s="8"/>
      <c r="F187" s="8"/>
      <c r="G187" s="8"/>
      <c r="H187" s="8"/>
      <c r="I187" s="8"/>
      <c r="J187" s="8"/>
      <c r="K187" s="8"/>
      <c r="L187" s="94"/>
      <c r="M187" s="8"/>
      <c r="N187" s="8"/>
      <c r="O187" s="8"/>
      <c r="P187" s="8"/>
      <c r="Q187" s="8"/>
      <c r="R187" s="8"/>
      <c r="S187" s="8"/>
      <c r="T187" s="8"/>
      <c r="U187" s="8"/>
      <c r="V187" s="8"/>
      <c r="W187" s="8"/>
      <c r="X187" s="8"/>
      <c r="Y187" s="8"/>
      <c r="Z187" s="8"/>
    </row>
    <row r="188" spans="1:26" ht="12.75" customHeight="1" x14ac:dyDescent="0.25">
      <c r="A188" s="133"/>
      <c r="B188" s="8"/>
      <c r="C188" s="8"/>
      <c r="D188" s="8"/>
      <c r="E188" s="8"/>
      <c r="F188" s="8"/>
      <c r="G188" s="8"/>
      <c r="H188" s="8"/>
      <c r="I188" s="8"/>
      <c r="J188" s="8"/>
      <c r="K188" s="8"/>
      <c r="L188" s="94"/>
      <c r="M188" s="8"/>
      <c r="N188" s="8"/>
      <c r="O188" s="8"/>
      <c r="P188" s="8"/>
      <c r="Q188" s="8"/>
      <c r="R188" s="8"/>
      <c r="S188" s="8"/>
      <c r="T188" s="8"/>
      <c r="U188" s="8"/>
      <c r="V188" s="8"/>
      <c r="W188" s="8"/>
      <c r="X188" s="8"/>
      <c r="Y188" s="8"/>
      <c r="Z188" s="8"/>
    </row>
    <row r="189" spans="1:26" ht="12.75" customHeight="1" x14ac:dyDescent="0.25">
      <c r="A189" s="133"/>
      <c r="B189" s="8"/>
      <c r="C189" s="8"/>
      <c r="D189" s="8"/>
      <c r="E189" s="8"/>
      <c r="F189" s="8"/>
      <c r="G189" s="8"/>
      <c r="H189" s="8"/>
      <c r="I189" s="8"/>
      <c r="J189" s="8"/>
      <c r="K189" s="8"/>
      <c r="L189" s="94"/>
      <c r="M189" s="8"/>
      <c r="N189" s="8"/>
      <c r="O189" s="8"/>
      <c r="P189" s="8"/>
      <c r="Q189" s="8"/>
      <c r="R189" s="8"/>
      <c r="S189" s="8"/>
      <c r="T189" s="8"/>
      <c r="U189" s="8"/>
      <c r="V189" s="8"/>
      <c r="W189" s="8"/>
      <c r="X189" s="8"/>
      <c r="Y189" s="8"/>
      <c r="Z189" s="8"/>
    </row>
    <row r="190" spans="1:26" ht="12.75" customHeight="1" x14ac:dyDescent="0.25">
      <c r="A190" s="133"/>
      <c r="B190" s="8"/>
      <c r="C190" s="8"/>
      <c r="D190" s="8"/>
      <c r="E190" s="8"/>
      <c r="F190" s="8"/>
      <c r="G190" s="8"/>
      <c r="H190" s="8"/>
      <c r="I190" s="8"/>
      <c r="J190" s="8"/>
      <c r="K190" s="8"/>
      <c r="L190" s="94"/>
      <c r="M190" s="8"/>
      <c r="N190" s="8"/>
      <c r="O190" s="8"/>
      <c r="P190" s="8"/>
      <c r="Q190" s="8"/>
      <c r="R190" s="8"/>
      <c r="S190" s="8"/>
      <c r="T190" s="8"/>
      <c r="U190" s="8"/>
      <c r="V190" s="8"/>
      <c r="W190" s="8"/>
      <c r="X190" s="8"/>
      <c r="Y190" s="8"/>
      <c r="Z190" s="8"/>
    </row>
    <row r="191" spans="1:26" ht="12.75" customHeight="1" x14ac:dyDescent="0.25">
      <c r="A191" s="133"/>
      <c r="B191" s="8"/>
      <c r="C191" s="8"/>
      <c r="D191" s="8"/>
      <c r="E191" s="8"/>
      <c r="F191" s="8"/>
      <c r="G191" s="8"/>
      <c r="H191" s="8"/>
      <c r="I191" s="8"/>
      <c r="J191" s="8"/>
      <c r="K191" s="8"/>
      <c r="L191" s="94"/>
      <c r="M191" s="8"/>
      <c r="N191" s="8"/>
      <c r="O191" s="8"/>
      <c r="P191" s="8"/>
      <c r="Q191" s="8"/>
      <c r="R191" s="8"/>
      <c r="S191" s="8"/>
      <c r="T191" s="8"/>
      <c r="U191" s="8"/>
      <c r="V191" s="8"/>
      <c r="W191" s="8"/>
      <c r="X191" s="8"/>
      <c r="Y191" s="8"/>
      <c r="Z191" s="8"/>
    </row>
    <row r="192" spans="1:26" ht="12.75" customHeight="1" x14ac:dyDescent="0.25">
      <c r="A192" s="133"/>
      <c r="B192" s="8"/>
      <c r="C192" s="8"/>
      <c r="D192" s="8"/>
      <c r="E192" s="8"/>
      <c r="F192" s="8"/>
      <c r="G192" s="8"/>
      <c r="H192" s="8"/>
      <c r="I192" s="8"/>
      <c r="J192" s="8"/>
      <c r="K192" s="8"/>
      <c r="L192" s="94"/>
      <c r="M192" s="8"/>
      <c r="N192" s="8"/>
      <c r="O192" s="8"/>
      <c r="P192" s="8"/>
      <c r="Q192" s="8"/>
      <c r="R192" s="8"/>
      <c r="S192" s="8"/>
      <c r="T192" s="8"/>
      <c r="U192" s="8"/>
      <c r="V192" s="8"/>
      <c r="W192" s="8"/>
      <c r="X192" s="8"/>
      <c r="Y192" s="8"/>
      <c r="Z192" s="8"/>
    </row>
    <row r="193" spans="1:26" ht="12.75" customHeight="1" x14ac:dyDescent="0.25">
      <c r="A193" s="133"/>
      <c r="B193" s="8"/>
      <c r="C193" s="8"/>
      <c r="D193" s="8"/>
      <c r="E193" s="8"/>
      <c r="F193" s="8"/>
      <c r="G193" s="8"/>
      <c r="H193" s="8"/>
      <c r="I193" s="8"/>
      <c r="J193" s="8"/>
      <c r="K193" s="8"/>
      <c r="L193" s="94"/>
      <c r="M193" s="8"/>
      <c r="N193" s="8"/>
      <c r="O193" s="8"/>
      <c r="P193" s="8"/>
      <c r="Q193" s="8"/>
      <c r="R193" s="8"/>
      <c r="S193" s="8"/>
      <c r="T193" s="8"/>
      <c r="U193" s="8"/>
      <c r="V193" s="8"/>
      <c r="W193" s="8"/>
      <c r="X193" s="8"/>
      <c r="Y193" s="8"/>
      <c r="Z193" s="8"/>
    </row>
    <row r="194" spans="1:26" ht="12.75" customHeight="1" x14ac:dyDescent="0.25">
      <c r="A194" s="133"/>
      <c r="B194" s="8"/>
      <c r="C194" s="8"/>
      <c r="D194" s="8"/>
      <c r="E194" s="8"/>
      <c r="F194" s="8"/>
      <c r="G194" s="8"/>
      <c r="H194" s="8"/>
      <c r="I194" s="8"/>
      <c r="J194" s="8"/>
      <c r="K194" s="8"/>
      <c r="L194" s="94"/>
      <c r="M194" s="8"/>
      <c r="N194" s="8"/>
      <c r="O194" s="8"/>
      <c r="P194" s="8"/>
      <c r="Q194" s="8"/>
      <c r="R194" s="8"/>
      <c r="S194" s="8"/>
      <c r="T194" s="8"/>
      <c r="U194" s="8"/>
      <c r="V194" s="8"/>
      <c r="W194" s="8"/>
      <c r="X194" s="8"/>
      <c r="Y194" s="8"/>
      <c r="Z194" s="8"/>
    </row>
    <row r="195" spans="1:26" ht="12.75" customHeight="1" x14ac:dyDescent="0.25">
      <c r="A195" s="133"/>
      <c r="B195" s="8"/>
      <c r="C195" s="8"/>
      <c r="D195" s="8"/>
      <c r="E195" s="8"/>
      <c r="F195" s="8"/>
      <c r="G195" s="8"/>
      <c r="H195" s="8"/>
      <c r="I195" s="8"/>
      <c r="J195" s="8"/>
      <c r="K195" s="8"/>
      <c r="L195" s="94"/>
      <c r="M195" s="8"/>
      <c r="N195" s="8"/>
      <c r="O195" s="8"/>
      <c r="P195" s="8"/>
      <c r="Q195" s="8"/>
      <c r="R195" s="8"/>
      <c r="S195" s="8"/>
      <c r="T195" s="8"/>
      <c r="U195" s="8"/>
      <c r="V195" s="8"/>
      <c r="W195" s="8"/>
      <c r="X195" s="8"/>
      <c r="Y195" s="8"/>
      <c r="Z195" s="8"/>
    </row>
    <row r="196" spans="1:26" ht="12.75" customHeight="1" x14ac:dyDescent="0.25">
      <c r="A196" s="133"/>
      <c r="B196" s="8"/>
      <c r="C196" s="8"/>
      <c r="D196" s="8"/>
      <c r="E196" s="8"/>
      <c r="F196" s="8"/>
      <c r="G196" s="8"/>
      <c r="H196" s="8"/>
      <c r="I196" s="8"/>
      <c r="J196" s="8"/>
      <c r="K196" s="8"/>
      <c r="L196" s="94"/>
      <c r="M196" s="8"/>
      <c r="N196" s="8"/>
      <c r="O196" s="8"/>
      <c r="P196" s="8"/>
      <c r="Q196" s="8"/>
      <c r="R196" s="8"/>
      <c r="S196" s="8"/>
      <c r="T196" s="8"/>
      <c r="U196" s="8"/>
      <c r="V196" s="8"/>
      <c r="W196" s="8"/>
      <c r="X196" s="8"/>
      <c r="Y196" s="8"/>
      <c r="Z196" s="8"/>
    </row>
    <row r="197" spans="1:26" ht="12.75" customHeight="1" x14ac:dyDescent="0.25">
      <c r="A197" s="133"/>
      <c r="B197" s="8"/>
      <c r="C197" s="8"/>
      <c r="D197" s="8"/>
      <c r="E197" s="8"/>
      <c r="F197" s="8"/>
      <c r="G197" s="8"/>
      <c r="H197" s="8"/>
      <c r="I197" s="8"/>
      <c r="J197" s="8"/>
      <c r="K197" s="8"/>
      <c r="L197" s="94"/>
      <c r="M197" s="8"/>
      <c r="N197" s="8"/>
      <c r="O197" s="8"/>
      <c r="P197" s="8"/>
      <c r="Q197" s="8"/>
      <c r="R197" s="8"/>
      <c r="S197" s="8"/>
      <c r="T197" s="8"/>
      <c r="U197" s="8"/>
      <c r="V197" s="8"/>
      <c r="W197" s="8"/>
      <c r="X197" s="8"/>
      <c r="Y197" s="8"/>
      <c r="Z197" s="8"/>
    </row>
    <row r="198" spans="1:26" ht="12.75" customHeight="1" x14ac:dyDescent="0.25">
      <c r="A198" s="133"/>
      <c r="B198" s="8"/>
      <c r="C198" s="8"/>
      <c r="D198" s="8"/>
      <c r="E198" s="8"/>
      <c r="F198" s="8"/>
      <c r="G198" s="8"/>
      <c r="H198" s="8"/>
      <c r="I198" s="8"/>
      <c r="J198" s="8"/>
      <c r="K198" s="8"/>
      <c r="L198" s="94"/>
      <c r="M198" s="8"/>
      <c r="N198" s="8"/>
      <c r="O198" s="8"/>
      <c r="P198" s="8"/>
      <c r="Q198" s="8"/>
      <c r="R198" s="8"/>
      <c r="S198" s="8"/>
      <c r="T198" s="8"/>
      <c r="U198" s="8"/>
      <c r="V198" s="8"/>
      <c r="W198" s="8"/>
      <c r="X198" s="8"/>
      <c r="Y198" s="8"/>
      <c r="Z198" s="8"/>
    </row>
    <row r="199" spans="1:26" ht="12.75" customHeight="1" x14ac:dyDescent="0.25">
      <c r="A199" s="133"/>
      <c r="B199" s="8"/>
      <c r="C199" s="8"/>
      <c r="D199" s="8"/>
      <c r="E199" s="8"/>
      <c r="F199" s="8"/>
      <c r="G199" s="8"/>
      <c r="H199" s="8"/>
      <c r="I199" s="8"/>
      <c r="J199" s="8"/>
      <c r="K199" s="8"/>
      <c r="L199" s="94"/>
      <c r="M199" s="8"/>
      <c r="N199" s="8"/>
      <c r="O199" s="8"/>
      <c r="P199" s="8"/>
      <c r="Q199" s="8"/>
      <c r="R199" s="8"/>
      <c r="S199" s="8"/>
      <c r="T199" s="8"/>
      <c r="U199" s="8"/>
      <c r="V199" s="8"/>
      <c r="W199" s="8"/>
      <c r="X199" s="8"/>
      <c r="Y199" s="8"/>
      <c r="Z199" s="8"/>
    </row>
    <row r="200" spans="1:26" ht="12.75" customHeight="1" x14ac:dyDescent="0.25">
      <c r="A200" s="133"/>
      <c r="B200" s="8"/>
      <c r="C200" s="8"/>
      <c r="D200" s="8"/>
      <c r="E200" s="8"/>
      <c r="F200" s="8"/>
      <c r="G200" s="8"/>
      <c r="H200" s="8"/>
      <c r="I200" s="8"/>
      <c r="J200" s="8"/>
      <c r="K200" s="8"/>
      <c r="L200" s="94"/>
      <c r="M200" s="8"/>
      <c r="N200" s="8"/>
      <c r="O200" s="8"/>
      <c r="P200" s="8"/>
      <c r="Q200" s="8"/>
      <c r="R200" s="8"/>
      <c r="S200" s="8"/>
      <c r="T200" s="8"/>
      <c r="U200" s="8"/>
      <c r="V200" s="8"/>
      <c r="W200" s="8"/>
      <c r="X200" s="8"/>
      <c r="Y200" s="8"/>
      <c r="Z200" s="8"/>
    </row>
    <row r="201" spans="1:26" ht="12.75" customHeight="1" x14ac:dyDescent="0.25">
      <c r="A201" s="133"/>
      <c r="B201" s="8"/>
      <c r="C201" s="8"/>
      <c r="D201" s="8"/>
      <c r="E201" s="8"/>
      <c r="F201" s="8"/>
      <c r="G201" s="8"/>
      <c r="H201" s="8"/>
      <c r="I201" s="8"/>
      <c r="J201" s="8"/>
      <c r="K201" s="8"/>
      <c r="L201" s="94"/>
      <c r="M201" s="8"/>
      <c r="N201" s="8"/>
      <c r="O201" s="8"/>
      <c r="P201" s="8"/>
      <c r="Q201" s="8"/>
      <c r="R201" s="8"/>
      <c r="S201" s="8"/>
      <c r="T201" s="8"/>
      <c r="U201" s="8"/>
      <c r="V201" s="8"/>
      <c r="W201" s="8"/>
      <c r="X201" s="8"/>
      <c r="Y201" s="8"/>
      <c r="Z201" s="8"/>
    </row>
    <row r="202" spans="1:26" ht="12.75" customHeight="1" x14ac:dyDescent="0.25">
      <c r="A202" s="133"/>
      <c r="B202" s="8"/>
      <c r="C202" s="8"/>
      <c r="D202" s="8"/>
      <c r="E202" s="8"/>
      <c r="F202" s="8"/>
      <c r="G202" s="8"/>
      <c r="H202" s="8"/>
      <c r="I202" s="8"/>
      <c r="J202" s="8"/>
      <c r="K202" s="8"/>
      <c r="L202" s="94"/>
      <c r="M202" s="8"/>
      <c r="N202" s="8"/>
      <c r="O202" s="8"/>
      <c r="P202" s="8"/>
      <c r="Q202" s="8"/>
      <c r="R202" s="8"/>
      <c r="S202" s="8"/>
      <c r="T202" s="8"/>
      <c r="U202" s="8"/>
      <c r="V202" s="8"/>
      <c r="W202" s="8"/>
      <c r="X202" s="8"/>
      <c r="Y202" s="8"/>
      <c r="Z202" s="8"/>
    </row>
    <row r="203" spans="1:26" ht="12.75" customHeight="1" x14ac:dyDescent="0.25">
      <c r="A203" s="133"/>
      <c r="B203" s="8"/>
      <c r="C203" s="8"/>
      <c r="D203" s="8"/>
      <c r="E203" s="8"/>
      <c r="F203" s="8"/>
      <c r="G203" s="8"/>
      <c r="H203" s="8"/>
      <c r="I203" s="8"/>
      <c r="J203" s="8"/>
      <c r="K203" s="8"/>
      <c r="L203" s="94"/>
      <c r="M203" s="8"/>
      <c r="N203" s="8"/>
      <c r="O203" s="8"/>
      <c r="P203" s="8"/>
      <c r="Q203" s="8"/>
      <c r="R203" s="8"/>
      <c r="S203" s="8"/>
      <c r="T203" s="8"/>
      <c r="U203" s="8"/>
      <c r="V203" s="8"/>
      <c r="W203" s="8"/>
      <c r="X203" s="8"/>
      <c r="Y203" s="8"/>
      <c r="Z203" s="8"/>
    </row>
    <row r="204" spans="1:26" ht="12.75" customHeight="1" x14ac:dyDescent="0.25">
      <c r="A204" s="133"/>
      <c r="B204" s="8"/>
      <c r="C204" s="8"/>
      <c r="D204" s="8"/>
      <c r="E204" s="8"/>
      <c r="F204" s="8"/>
      <c r="G204" s="8"/>
      <c r="H204" s="8"/>
      <c r="I204" s="8"/>
      <c r="J204" s="8"/>
      <c r="K204" s="8"/>
      <c r="L204" s="94"/>
      <c r="M204" s="8"/>
      <c r="N204" s="8"/>
      <c r="O204" s="8"/>
      <c r="P204" s="8"/>
      <c r="Q204" s="8"/>
      <c r="R204" s="8"/>
      <c r="S204" s="8"/>
      <c r="T204" s="8"/>
      <c r="U204" s="8"/>
      <c r="V204" s="8"/>
      <c r="W204" s="8"/>
      <c r="X204" s="8"/>
      <c r="Y204" s="8"/>
      <c r="Z204" s="8"/>
    </row>
    <row r="205" spans="1:26" ht="12.75" customHeight="1" x14ac:dyDescent="0.25">
      <c r="A205" s="133"/>
      <c r="B205" s="8"/>
      <c r="C205" s="8"/>
      <c r="D205" s="8"/>
      <c r="E205" s="8"/>
      <c r="F205" s="8"/>
      <c r="G205" s="8"/>
      <c r="H205" s="8"/>
      <c r="I205" s="8"/>
      <c r="J205" s="8"/>
      <c r="K205" s="8"/>
      <c r="L205" s="94"/>
      <c r="M205" s="8"/>
      <c r="N205" s="8"/>
      <c r="O205" s="8"/>
      <c r="P205" s="8"/>
      <c r="Q205" s="8"/>
      <c r="R205" s="8"/>
      <c r="S205" s="8"/>
      <c r="T205" s="8"/>
      <c r="U205" s="8"/>
      <c r="V205" s="8"/>
      <c r="W205" s="8"/>
      <c r="X205" s="8"/>
      <c r="Y205" s="8"/>
      <c r="Z205" s="8"/>
    </row>
    <row r="206" spans="1:26" ht="12.75" customHeight="1" x14ac:dyDescent="0.25">
      <c r="A206" s="133"/>
      <c r="B206" s="8"/>
      <c r="C206" s="8"/>
      <c r="D206" s="8"/>
      <c r="E206" s="8"/>
      <c r="F206" s="8"/>
      <c r="G206" s="8"/>
      <c r="H206" s="8"/>
      <c r="I206" s="8"/>
      <c r="J206" s="8"/>
      <c r="K206" s="8"/>
      <c r="L206" s="94"/>
      <c r="M206" s="8"/>
      <c r="N206" s="8"/>
      <c r="O206" s="8"/>
      <c r="P206" s="8"/>
      <c r="Q206" s="8"/>
      <c r="R206" s="8"/>
      <c r="S206" s="8"/>
      <c r="T206" s="8"/>
      <c r="U206" s="8"/>
      <c r="V206" s="8"/>
      <c r="W206" s="8"/>
      <c r="X206" s="8"/>
      <c r="Y206" s="8"/>
      <c r="Z206" s="8"/>
    </row>
    <row r="207" spans="1:26" ht="12.75" customHeight="1" x14ac:dyDescent="0.25">
      <c r="A207" s="133"/>
      <c r="B207" s="8"/>
      <c r="C207" s="8"/>
      <c r="D207" s="8"/>
      <c r="E207" s="8"/>
      <c r="F207" s="8"/>
      <c r="G207" s="8"/>
      <c r="H207" s="8"/>
      <c r="I207" s="8"/>
      <c r="J207" s="8"/>
      <c r="K207" s="8"/>
      <c r="L207" s="94"/>
      <c r="M207" s="8"/>
      <c r="N207" s="8"/>
      <c r="O207" s="8"/>
      <c r="P207" s="8"/>
      <c r="Q207" s="8"/>
      <c r="R207" s="8"/>
      <c r="S207" s="8"/>
      <c r="T207" s="8"/>
      <c r="U207" s="8"/>
      <c r="V207" s="8"/>
      <c r="W207" s="8"/>
      <c r="X207" s="8"/>
      <c r="Y207" s="8"/>
      <c r="Z207" s="8"/>
    </row>
    <row r="208" spans="1:26" ht="12.75" customHeight="1" x14ac:dyDescent="0.25">
      <c r="A208" s="133"/>
      <c r="B208" s="8"/>
      <c r="C208" s="8"/>
      <c r="D208" s="8"/>
      <c r="E208" s="8"/>
      <c r="F208" s="8"/>
      <c r="G208" s="8"/>
      <c r="H208" s="8"/>
      <c r="I208" s="8"/>
      <c r="J208" s="8"/>
      <c r="K208" s="8"/>
      <c r="L208" s="94"/>
      <c r="M208" s="8"/>
      <c r="N208" s="8"/>
      <c r="O208" s="8"/>
      <c r="P208" s="8"/>
      <c r="Q208" s="8"/>
      <c r="R208" s="8"/>
      <c r="S208" s="8"/>
      <c r="T208" s="8"/>
      <c r="U208" s="8"/>
      <c r="V208" s="8"/>
      <c r="W208" s="8"/>
      <c r="X208" s="8"/>
      <c r="Y208" s="8"/>
      <c r="Z208" s="8"/>
    </row>
    <row r="209" spans="1:26" ht="12.75" customHeight="1" x14ac:dyDescent="0.25">
      <c r="A209" s="133"/>
      <c r="B209" s="8"/>
      <c r="C209" s="8"/>
      <c r="D209" s="8"/>
      <c r="E209" s="8"/>
      <c r="F209" s="8"/>
      <c r="G209" s="8"/>
      <c r="H209" s="8"/>
      <c r="I209" s="8"/>
      <c r="J209" s="8"/>
      <c r="K209" s="8"/>
      <c r="L209" s="94"/>
      <c r="M209" s="8"/>
      <c r="N209" s="8"/>
      <c r="O209" s="8"/>
      <c r="P209" s="8"/>
      <c r="Q209" s="8"/>
      <c r="R209" s="8"/>
      <c r="S209" s="8"/>
      <c r="T209" s="8"/>
      <c r="U209" s="8"/>
      <c r="V209" s="8"/>
      <c r="W209" s="8"/>
      <c r="X209" s="8"/>
      <c r="Y209" s="8"/>
      <c r="Z209" s="8"/>
    </row>
    <row r="210" spans="1:26" ht="12.75" customHeight="1" x14ac:dyDescent="0.25">
      <c r="A210" s="133"/>
      <c r="B210" s="8"/>
      <c r="C210" s="8"/>
      <c r="D210" s="8"/>
      <c r="E210" s="8"/>
      <c r="F210" s="8"/>
      <c r="G210" s="8"/>
      <c r="H210" s="8"/>
      <c r="I210" s="8"/>
      <c r="J210" s="8"/>
      <c r="K210" s="8"/>
      <c r="L210" s="94"/>
      <c r="M210" s="8"/>
      <c r="N210" s="8"/>
      <c r="O210" s="8"/>
      <c r="P210" s="8"/>
      <c r="Q210" s="8"/>
      <c r="R210" s="8"/>
      <c r="S210" s="8"/>
      <c r="T210" s="8"/>
      <c r="U210" s="8"/>
      <c r="V210" s="8"/>
      <c r="W210" s="8"/>
      <c r="X210" s="8"/>
      <c r="Y210" s="8"/>
      <c r="Z210" s="8"/>
    </row>
    <row r="211" spans="1:26" ht="12.75" customHeight="1" x14ac:dyDescent="0.25">
      <c r="A211" s="133"/>
      <c r="B211" s="8"/>
      <c r="C211" s="8"/>
      <c r="D211" s="8"/>
      <c r="E211" s="8"/>
      <c r="F211" s="8"/>
      <c r="G211" s="8"/>
      <c r="H211" s="8"/>
      <c r="I211" s="8"/>
      <c r="J211" s="8"/>
      <c r="K211" s="8"/>
      <c r="L211" s="94"/>
      <c r="M211" s="8"/>
      <c r="N211" s="8"/>
      <c r="O211" s="8"/>
      <c r="P211" s="8"/>
      <c r="Q211" s="8"/>
      <c r="R211" s="8"/>
      <c r="S211" s="8"/>
      <c r="T211" s="8"/>
      <c r="U211" s="8"/>
      <c r="V211" s="8"/>
      <c r="W211" s="8"/>
      <c r="X211" s="8"/>
      <c r="Y211" s="8"/>
      <c r="Z211" s="8"/>
    </row>
    <row r="212" spans="1:26" ht="12.75" customHeight="1" x14ac:dyDescent="0.25">
      <c r="A212" s="133"/>
      <c r="B212" s="8"/>
      <c r="C212" s="8"/>
      <c r="D212" s="8"/>
      <c r="E212" s="8"/>
      <c r="F212" s="8"/>
      <c r="G212" s="8"/>
      <c r="H212" s="8"/>
      <c r="I212" s="8"/>
      <c r="J212" s="8"/>
      <c r="K212" s="8"/>
      <c r="L212" s="94"/>
      <c r="M212" s="8"/>
      <c r="N212" s="8"/>
      <c r="O212" s="8"/>
      <c r="P212" s="8"/>
      <c r="Q212" s="8"/>
      <c r="R212" s="8"/>
      <c r="S212" s="8"/>
      <c r="T212" s="8"/>
      <c r="U212" s="8"/>
      <c r="V212" s="8"/>
      <c r="W212" s="8"/>
      <c r="X212" s="8"/>
      <c r="Y212" s="8"/>
      <c r="Z212" s="8"/>
    </row>
    <row r="213" spans="1:26" ht="12.75" customHeight="1" x14ac:dyDescent="0.25">
      <c r="A213" s="133"/>
      <c r="B213" s="8"/>
      <c r="C213" s="8"/>
      <c r="D213" s="8"/>
      <c r="E213" s="8"/>
      <c r="F213" s="8"/>
      <c r="G213" s="8"/>
      <c r="H213" s="8"/>
      <c r="I213" s="8"/>
      <c r="J213" s="8"/>
      <c r="K213" s="8"/>
      <c r="L213" s="94"/>
      <c r="M213" s="8"/>
      <c r="N213" s="8"/>
      <c r="O213" s="8"/>
      <c r="P213" s="8"/>
      <c r="Q213" s="8"/>
      <c r="R213" s="8"/>
      <c r="S213" s="8"/>
      <c r="T213" s="8"/>
      <c r="U213" s="8"/>
      <c r="V213" s="8"/>
      <c r="W213" s="8"/>
      <c r="X213" s="8"/>
      <c r="Y213" s="8"/>
      <c r="Z213" s="8"/>
    </row>
    <row r="214" spans="1:26" ht="12.75" customHeight="1" x14ac:dyDescent="0.25">
      <c r="A214" s="133"/>
      <c r="B214" s="8"/>
      <c r="C214" s="8"/>
      <c r="D214" s="8"/>
      <c r="E214" s="8"/>
      <c r="F214" s="8"/>
      <c r="G214" s="8"/>
      <c r="H214" s="8"/>
      <c r="I214" s="8"/>
      <c r="J214" s="8"/>
      <c r="K214" s="8"/>
      <c r="L214" s="94"/>
      <c r="M214" s="8"/>
      <c r="N214" s="8"/>
      <c r="O214" s="8"/>
      <c r="P214" s="8"/>
      <c r="Q214" s="8"/>
      <c r="R214" s="8"/>
      <c r="S214" s="8"/>
      <c r="T214" s="8"/>
      <c r="U214" s="8"/>
      <c r="V214" s="8"/>
      <c r="W214" s="8"/>
      <c r="X214" s="8"/>
      <c r="Y214" s="8"/>
      <c r="Z214" s="8"/>
    </row>
    <row r="215" spans="1:26" ht="12.75" customHeight="1" x14ac:dyDescent="0.25">
      <c r="A215" s="133"/>
      <c r="B215" s="8"/>
      <c r="C215" s="8"/>
      <c r="D215" s="8"/>
      <c r="E215" s="8"/>
      <c r="F215" s="8"/>
      <c r="G215" s="8"/>
      <c r="H215" s="8"/>
      <c r="I215" s="8"/>
      <c r="J215" s="8"/>
      <c r="K215" s="8"/>
      <c r="L215" s="94"/>
      <c r="M215" s="8"/>
      <c r="N215" s="8"/>
      <c r="O215" s="8"/>
      <c r="P215" s="8"/>
      <c r="Q215" s="8"/>
      <c r="R215" s="8"/>
      <c r="S215" s="8"/>
      <c r="T215" s="8"/>
      <c r="U215" s="8"/>
      <c r="V215" s="8"/>
      <c r="W215" s="8"/>
      <c r="X215" s="8"/>
      <c r="Y215" s="8"/>
      <c r="Z215" s="8"/>
    </row>
    <row r="216" spans="1:26" ht="12.75" customHeight="1" x14ac:dyDescent="0.25">
      <c r="A216" s="133"/>
      <c r="B216" s="8"/>
      <c r="C216" s="8"/>
      <c r="D216" s="8"/>
      <c r="E216" s="8"/>
      <c r="F216" s="8"/>
      <c r="G216" s="8"/>
      <c r="H216" s="8"/>
      <c r="I216" s="8"/>
      <c r="J216" s="8"/>
      <c r="K216" s="8"/>
      <c r="L216" s="94"/>
      <c r="M216" s="8"/>
      <c r="N216" s="8"/>
      <c r="O216" s="8"/>
      <c r="P216" s="8"/>
      <c r="Q216" s="8"/>
      <c r="R216" s="8"/>
      <c r="S216" s="8"/>
      <c r="T216" s="8"/>
      <c r="U216" s="8"/>
      <c r="V216" s="8"/>
      <c r="W216" s="8"/>
      <c r="X216" s="8"/>
      <c r="Y216" s="8"/>
      <c r="Z216" s="8"/>
    </row>
    <row r="217" spans="1:26" ht="12.75" customHeight="1" x14ac:dyDescent="0.25">
      <c r="A217" s="133"/>
      <c r="B217" s="8"/>
      <c r="C217" s="8"/>
      <c r="D217" s="8"/>
      <c r="E217" s="8"/>
      <c r="F217" s="8"/>
      <c r="G217" s="8"/>
      <c r="H217" s="8"/>
      <c r="I217" s="8"/>
      <c r="J217" s="8"/>
      <c r="K217" s="8"/>
      <c r="L217" s="94"/>
      <c r="M217" s="8"/>
      <c r="N217" s="8"/>
      <c r="O217" s="8"/>
      <c r="P217" s="8"/>
      <c r="Q217" s="8"/>
      <c r="R217" s="8"/>
      <c r="S217" s="8"/>
      <c r="T217" s="8"/>
      <c r="U217" s="8"/>
      <c r="V217" s="8"/>
      <c r="W217" s="8"/>
      <c r="X217" s="8"/>
      <c r="Y217" s="8"/>
      <c r="Z217" s="8"/>
    </row>
    <row r="218" spans="1:26" ht="12.75" customHeight="1" x14ac:dyDescent="0.25">
      <c r="A218" s="133"/>
      <c r="B218" s="8"/>
      <c r="C218" s="8"/>
      <c r="D218" s="8"/>
      <c r="E218" s="8"/>
      <c r="F218" s="8"/>
      <c r="G218" s="8"/>
      <c r="H218" s="8"/>
      <c r="I218" s="8"/>
      <c r="J218" s="8"/>
      <c r="K218" s="8"/>
      <c r="L218" s="94"/>
      <c r="M218" s="8"/>
      <c r="N218" s="8"/>
      <c r="O218" s="8"/>
      <c r="P218" s="8"/>
      <c r="Q218" s="8"/>
      <c r="R218" s="8"/>
      <c r="S218" s="8"/>
      <c r="T218" s="8"/>
      <c r="U218" s="8"/>
      <c r="V218" s="8"/>
      <c r="W218" s="8"/>
      <c r="X218" s="8"/>
      <c r="Y218" s="8"/>
      <c r="Z218" s="8"/>
    </row>
    <row r="219" spans="1:26" ht="12.75" customHeight="1" x14ac:dyDescent="0.25">
      <c r="A219" s="133"/>
      <c r="B219" s="8"/>
      <c r="C219" s="8"/>
      <c r="D219" s="8"/>
      <c r="E219" s="8"/>
      <c r="F219" s="8"/>
      <c r="G219" s="8"/>
      <c r="H219" s="8"/>
      <c r="I219" s="8"/>
      <c r="J219" s="8"/>
      <c r="K219" s="8"/>
      <c r="L219" s="94"/>
      <c r="M219" s="8"/>
      <c r="N219" s="8"/>
      <c r="O219" s="8"/>
      <c r="P219" s="8"/>
      <c r="Q219" s="8"/>
      <c r="R219" s="8"/>
      <c r="S219" s="8"/>
      <c r="T219" s="8"/>
      <c r="U219" s="8"/>
      <c r="V219" s="8"/>
      <c r="W219" s="8"/>
      <c r="X219" s="8"/>
      <c r="Y219" s="8"/>
      <c r="Z219" s="8"/>
    </row>
    <row r="220" spans="1:26" ht="15.75" customHeight="1" x14ac:dyDescent="0.2"/>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1">
    <mergeCell ref="B3:E3"/>
  </mergeCells>
  <conditionalFormatting sqref="I9:I28">
    <cfRule type="containsText" dxfId="94" priority="1" operator="containsText" text="&quot;Pass&quot;">
      <formula>NOT(ISERROR(SEARCH(("""Pass"""),(I9))))</formula>
    </cfRule>
    <cfRule type="containsText" dxfId="93" priority="2" operator="containsText" text="&quot;N/A&quot;">
      <formula>NOT(ISERROR(SEARCH(("""N/A"""),(I9))))</formula>
    </cfRule>
    <cfRule type="containsText" dxfId="92" priority="3" operator="containsText" text="&quot;Fail&quot;">
      <formula>NOT(ISERROR(SEARCH(("""Fail"""),(I9))))</formula>
    </cfRule>
    <cfRule type="containsText" dxfId="91" priority="4" operator="containsText" text="&quot;Pass&quot;">
      <formula>NOT(ISERROR(SEARCH(("""Pass"""),(I9))))</formula>
    </cfRule>
    <cfRule type="containsText" dxfId="90" priority="5" operator="containsText" text="&quot;Pass&quot;">
      <formula>NOT(ISERROR(SEARCH(("""Pass"""),(I9))))</formula>
    </cfRule>
    <cfRule type="containsText" dxfId="89" priority="6" operator="containsText" text="&quot;N/A&quot;">
      <formula>NOT(ISERROR(SEARCH(("""N/A"""),(I9))))</formula>
    </cfRule>
    <cfRule type="containsText" dxfId="88" priority="7" operator="containsText" text="&quot;Fail&quot;">
      <formula>NOT(ISERROR(SEARCH(("""Fail"""),(I9))))</formula>
    </cfRule>
    <cfRule type="containsText" dxfId="87" priority="8" operator="containsText" text="&quot;Pass&quot;">
      <formula>NOT(ISERROR(SEARCH(("""Pass"""),(I9))))</formula>
    </cfRule>
    <cfRule type="containsText" dxfId="86" priority="9" operator="containsText" text="Pass">
      <formula>NOT(ISERROR(SEARCH(("Pass"),(I9))))</formula>
    </cfRule>
    <cfRule type="containsText" dxfId="85" priority="10" operator="containsText" text="Fail">
      <formula>NOT(ISERROR(SEARCH(("Fail"),(I9))))</formula>
    </cfRule>
    <cfRule type="containsText" dxfId="84" priority="11" operator="containsText" text="Untested">
      <formula>NOT(ISERROR(SEARCH(("Untested"),(I9))))</formula>
    </cfRule>
  </conditionalFormatting>
  <dataValidations count="2">
    <dataValidation type="list" allowBlank="1" showInputMessage="1" showErrorMessage="1" prompt=" - " sqref="I1:I3 I7:I8 I22:I141" xr:uid="{54D53735-D3E0-45DA-A186-2E6A31BA551F}">
      <formula1>$M$2:$M$6</formula1>
    </dataValidation>
    <dataValidation type="list" allowBlank="1" showInputMessage="1" showErrorMessage="1" prompt=" - " sqref="I9:I21" xr:uid="{56771209-8592-409D-B2EF-2A3D7BCB5DC2}">
      <formula1>"Pass,Fail,Untested,N/A"</formula1>
    </dataValidation>
  </dataValidations>
  <pageMargins left="0.7" right="0.7" top="0.75" bottom="0.75" header="0" footer="0"/>
  <pageSetup orientation="landscape" r:id="rId1"/>
  <headerFooter>
    <oddHeader>&amp;LFacilitate_Test Case\Company&amp;Rv1.0</oddHeader>
    <oddFooter>&amp;L 02ae-BM/PM/HDCV/FSOFT v2/0&amp;CInternal use&amp;R&amp;P/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7FCFD-5B66-4BB4-9FFE-F567D138ABC6}">
  <dimension ref="A1:Z985"/>
  <sheetViews>
    <sheetView zoomScale="69" workbookViewId="0">
      <pane ySplit="8" topLeftCell="A18" activePane="bottomLeft" state="frozen"/>
      <selection pane="bottomLeft" activeCell="I20" sqref="I20"/>
    </sheetView>
  </sheetViews>
  <sheetFormatPr defaultColWidth="12.6640625" defaultRowHeight="15" customHeight="1" x14ac:dyDescent="0.2"/>
  <cols>
    <col min="1" max="1" width="14.33203125" style="134" customWidth="1"/>
    <col min="2" max="5" width="20.33203125" customWidth="1"/>
    <col min="6" max="7" width="25" customWidth="1"/>
    <col min="8" max="8" width="30.109375" customWidth="1"/>
    <col min="9" max="9" width="15.109375" customWidth="1"/>
    <col min="10" max="10" width="16.33203125" customWidth="1"/>
    <col min="11" max="11" width="15.88671875" customWidth="1"/>
    <col min="12" max="12" width="8.109375" customWidth="1"/>
    <col min="13" max="13" width="10" hidden="1" customWidth="1"/>
    <col min="14" max="26" width="10" customWidth="1"/>
  </cols>
  <sheetData>
    <row r="1" spans="1:26" ht="13.5" customHeight="1" thickBot="1" x14ac:dyDescent="0.3">
      <c r="A1" s="124"/>
      <c r="B1" s="55"/>
      <c r="C1" s="55"/>
      <c r="D1" s="56"/>
      <c r="E1" s="56"/>
      <c r="F1" s="56"/>
      <c r="G1" s="56"/>
      <c r="H1" s="56"/>
      <c r="I1" s="36"/>
      <c r="J1" s="57"/>
      <c r="K1" s="36"/>
      <c r="L1" s="58"/>
      <c r="M1" s="59"/>
      <c r="N1" s="59"/>
      <c r="O1" s="59"/>
      <c r="P1" s="59"/>
      <c r="Q1" s="59"/>
      <c r="R1" s="59"/>
      <c r="S1" s="59"/>
      <c r="T1" s="59"/>
      <c r="U1" s="59"/>
      <c r="V1" s="59"/>
      <c r="W1" s="59"/>
      <c r="X1" s="59"/>
      <c r="Y1" s="59"/>
      <c r="Z1" s="59"/>
    </row>
    <row r="2" spans="1:26" ht="28.5" customHeight="1" x14ac:dyDescent="0.25">
      <c r="A2" s="125" t="s">
        <v>31</v>
      </c>
      <c r="B2" s="141" t="s">
        <v>105</v>
      </c>
      <c r="C2" s="62"/>
      <c r="D2" s="63"/>
      <c r="E2" s="64"/>
      <c r="F2" s="65"/>
      <c r="G2" s="66"/>
      <c r="H2" s="67"/>
      <c r="I2" s="67"/>
      <c r="J2" s="36"/>
      <c r="K2" s="36"/>
      <c r="L2" s="58"/>
      <c r="M2" s="59" t="s">
        <v>32</v>
      </c>
      <c r="N2" s="59"/>
      <c r="O2" s="59"/>
      <c r="P2" s="59"/>
      <c r="Q2" s="59"/>
      <c r="R2" s="59"/>
      <c r="S2" s="59"/>
      <c r="T2" s="59"/>
      <c r="U2" s="59"/>
      <c r="V2" s="59"/>
      <c r="W2" s="59"/>
      <c r="X2" s="59"/>
      <c r="Y2" s="59"/>
      <c r="Z2" s="59"/>
    </row>
    <row r="3" spans="1:26" ht="34.5" customHeight="1" x14ac:dyDescent="0.25">
      <c r="A3" s="126" t="s">
        <v>33</v>
      </c>
      <c r="B3" s="235" t="s">
        <v>623</v>
      </c>
      <c r="C3" s="236"/>
      <c r="D3" s="236"/>
      <c r="E3" s="237"/>
      <c r="F3" s="65"/>
      <c r="G3" s="66"/>
      <c r="H3" s="67"/>
      <c r="I3" s="67"/>
      <c r="J3" s="36"/>
      <c r="K3" s="36"/>
      <c r="L3" s="58"/>
      <c r="M3" s="59" t="s">
        <v>34</v>
      </c>
      <c r="N3" s="59"/>
      <c r="O3" s="59"/>
      <c r="P3" s="59"/>
      <c r="Q3" s="59"/>
      <c r="R3" s="59"/>
      <c r="S3" s="59"/>
      <c r="T3" s="59"/>
      <c r="U3" s="59"/>
      <c r="V3" s="59"/>
      <c r="W3" s="59"/>
      <c r="X3" s="59"/>
      <c r="Y3" s="59"/>
      <c r="Z3" s="59"/>
    </row>
    <row r="4" spans="1:26" ht="27.6" customHeight="1" x14ac:dyDescent="0.25">
      <c r="A4" s="127" t="s">
        <v>35</v>
      </c>
      <c r="B4" s="70" t="s">
        <v>525</v>
      </c>
      <c r="C4" s="71"/>
      <c r="D4" s="71"/>
      <c r="E4" s="72"/>
      <c r="F4" s="67"/>
      <c r="G4" s="73"/>
      <c r="H4" s="67"/>
      <c r="I4" s="67"/>
      <c r="J4" s="36"/>
      <c r="K4" s="36"/>
      <c r="L4" s="58"/>
      <c r="M4" s="74"/>
      <c r="N4" s="59"/>
      <c r="O4" s="59"/>
      <c r="P4" s="59"/>
      <c r="Q4" s="59"/>
      <c r="R4" s="59"/>
      <c r="S4" s="59"/>
      <c r="T4" s="59"/>
      <c r="U4" s="59"/>
      <c r="V4" s="59"/>
      <c r="W4" s="59"/>
      <c r="X4" s="59"/>
      <c r="Y4" s="59"/>
      <c r="Z4" s="59"/>
    </row>
    <row r="5" spans="1:26" ht="36" customHeight="1" x14ac:dyDescent="0.25">
      <c r="A5" s="128" t="s">
        <v>32</v>
      </c>
      <c r="B5" s="76" t="s">
        <v>34</v>
      </c>
      <c r="C5" s="76" t="s">
        <v>36</v>
      </c>
      <c r="D5" s="76" t="s">
        <v>37</v>
      </c>
      <c r="E5" s="77" t="s">
        <v>38</v>
      </c>
      <c r="F5" s="59"/>
      <c r="G5" s="78"/>
      <c r="H5" s="78"/>
      <c r="I5" s="78"/>
      <c r="J5" s="79"/>
      <c r="K5" s="79"/>
      <c r="L5" s="80"/>
      <c r="M5" s="59" t="s">
        <v>39</v>
      </c>
      <c r="N5" s="59"/>
      <c r="O5" s="59"/>
      <c r="P5" s="59"/>
      <c r="Q5" s="59"/>
      <c r="R5" s="59"/>
      <c r="S5" s="59"/>
      <c r="T5" s="59"/>
      <c r="U5" s="59"/>
      <c r="V5" s="59"/>
      <c r="W5" s="59"/>
      <c r="X5" s="59"/>
      <c r="Y5" s="59"/>
      <c r="Z5" s="59"/>
    </row>
    <row r="6" spans="1:26" ht="33" customHeight="1" thickBot="1" x14ac:dyDescent="0.3">
      <c r="A6" s="129">
        <f>COUNTIF(I9:I980,"Pass")</f>
        <v>11</v>
      </c>
      <c r="B6" s="82">
        <f>COUNTIF(I9:I980,"Fail")</f>
        <v>0</v>
      </c>
      <c r="C6" s="82">
        <f>E6-D6-A6-B6</f>
        <v>1</v>
      </c>
      <c r="D6" s="83">
        <f>COUNTIF(H$9:I$980,"N/A")</f>
        <v>0</v>
      </c>
      <c r="E6" s="84">
        <f>COUNTA(A9:A984)</f>
        <v>12</v>
      </c>
      <c r="F6" s="59"/>
      <c r="G6" s="85"/>
      <c r="H6" s="85"/>
      <c r="I6" s="86"/>
      <c r="J6" s="79"/>
      <c r="K6" s="79"/>
      <c r="L6" s="80"/>
      <c r="M6" s="59" t="s">
        <v>37</v>
      </c>
      <c r="N6" s="59"/>
      <c r="O6" s="59"/>
      <c r="P6" s="59"/>
      <c r="Q6" s="59"/>
      <c r="R6" s="59"/>
      <c r="S6" s="59"/>
      <c r="T6" s="59"/>
      <c r="U6" s="59"/>
      <c r="V6" s="59"/>
      <c r="W6" s="59"/>
      <c r="X6" s="59"/>
      <c r="Y6" s="59"/>
      <c r="Z6" s="59"/>
    </row>
    <row r="7" spans="1:26" ht="10.199999999999999" customHeight="1" x14ac:dyDescent="0.25">
      <c r="A7" s="130"/>
      <c r="B7" s="59"/>
      <c r="C7" s="59"/>
      <c r="D7" s="59"/>
      <c r="E7" s="59"/>
      <c r="F7" s="59"/>
      <c r="G7" s="59"/>
      <c r="H7" s="87"/>
      <c r="I7" s="79"/>
      <c r="J7" s="79"/>
      <c r="K7" s="79"/>
      <c r="L7" s="80"/>
      <c r="M7" s="59"/>
      <c r="N7" s="59"/>
      <c r="O7" s="59"/>
      <c r="P7" s="59"/>
      <c r="Q7" s="59"/>
      <c r="R7" s="59"/>
      <c r="S7" s="59"/>
      <c r="T7" s="59"/>
      <c r="U7" s="59"/>
      <c r="V7" s="59"/>
      <c r="W7" s="59"/>
      <c r="X7" s="59"/>
      <c r="Y7" s="59"/>
      <c r="Z7" s="59"/>
    </row>
    <row r="8" spans="1:26" ht="25.8" customHeight="1" x14ac:dyDescent="0.25">
      <c r="A8" s="131" t="s">
        <v>40</v>
      </c>
      <c r="B8" s="88" t="s">
        <v>41</v>
      </c>
      <c r="C8" s="88" t="s">
        <v>42</v>
      </c>
      <c r="D8" s="88" t="s">
        <v>43</v>
      </c>
      <c r="E8" s="88" t="s">
        <v>44</v>
      </c>
      <c r="F8" s="88" t="s">
        <v>45</v>
      </c>
      <c r="G8" s="88" t="s">
        <v>46</v>
      </c>
      <c r="H8" s="88" t="s">
        <v>47</v>
      </c>
      <c r="I8" s="89" t="s">
        <v>48</v>
      </c>
      <c r="J8" s="89" t="s">
        <v>49</v>
      </c>
      <c r="K8" s="88" t="s">
        <v>50</v>
      </c>
      <c r="L8" s="90"/>
      <c r="M8" s="59"/>
      <c r="N8" s="59"/>
      <c r="O8" s="59"/>
      <c r="P8" s="59"/>
      <c r="Q8" s="59"/>
      <c r="R8" s="59"/>
      <c r="S8" s="59"/>
      <c r="T8" s="59"/>
      <c r="U8" s="59"/>
      <c r="V8" s="59"/>
      <c r="W8" s="59"/>
      <c r="X8" s="59"/>
      <c r="Y8" s="59"/>
      <c r="Z8" s="59"/>
    </row>
    <row r="9" spans="1:26" s="151" customFormat="1" ht="60" customHeight="1" x14ac:dyDescent="0.25">
      <c r="A9" s="152" t="str">
        <f t="shared" ref="A9:A20" si="0">$B$2&amp;"-"&amp;ROW()-8</f>
        <v>Đặt hàng-1</v>
      </c>
      <c r="B9" s="153" t="s">
        <v>59</v>
      </c>
      <c r="C9" s="154"/>
      <c r="D9" s="148" t="s">
        <v>104</v>
      </c>
      <c r="E9" s="148" t="s">
        <v>624</v>
      </c>
      <c r="F9" s="148" t="s">
        <v>250</v>
      </c>
      <c r="G9" s="148"/>
      <c r="H9" s="161" t="s">
        <v>634</v>
      </c>
      <c r="I9" s="148" t="s">
        <v>32</v>
      </c>
      <c r="J9" s="148"/>
      <c r="K9" s="148"/>
      <c r="L9" s="162"/>
      <c r="M9" s="156"/>
      <c r="N9" s="156"/>
      <c r="O9" s="156"/>
      <c r="P9" s="156"/>
      <c r="Q9" s="156"/>
      <c r="R9" s="156"/>
      <c r="S9" s="156"/>
      <c r="T9" s="156"/>
      <c r="U9" s="156"/>
      <c r="V9" s="156"/>
      <c r="W9" s="156"/>
      <c r="X9" s="156"/>
      <c r="Y9" s="156"/>
      <c r="Z9" s="156"/>
    </row>
    <row r="10" spans="1:26" s="151" customFormat="1" ht="90.6" customHeight="1" x14ac:dyDescent="0.25">
      <c r="A10" s="152" t="str">
        <f t="shared" si="0"/>
        <v>Đặt hàng-2</v>
      </c>
      <c r="B10" s="174"/>
      <c r="C10" s="154"/>
      <c r="D10" s="148" t="s">
        <v>632</v>
      </c>
      <c r="E10" s="148" t="s">
        <v>625</v>
      </c>
      <c r="F10" s="148" t="s">
        <v>250</v>
      </c>
      <c r="G10" s="148" t="s">
        <v>499</v>
      </c>
      <c r="H10" s="161" t="s">
        <v>633</v>
      </c>
      <c r="I10" s="148" t="s">
        <v>32</v>
      </c>
      <c r="J10" s="148"/>
      <c r="K10" s="148"/>
      <c r="L10" s="149"/>
      <c r="M10" s="150"/>
      <c r="N10" s="150"/>
      <c r="O10" s="150"/>
      <c r="P10" s="150"/>
      <c r="Q10" s="150"/>
      <c r="R10" s="150"/>
      <c r="S10" s="150"/>
      <c r="T10" s="150"/>
      <c r="U10" s="150"/>
      <c r="V10" s="150"/>
      <c r="W10" s="150"/>
      <c r="X10" s="150"/>
      <c r="Y10" s="150"/>
      <c r="Z10" s="150"/>
    </row>
    <row r="11" spans="1:26" s="151" customFormat="1" ht="81" customHeight="1" x14ac:dyDescent="0.25">
      <c r="A11" s="152" t="str">
        <f t="shared" si="0"/>
        <v>Đặt hàng-3</v>
      </c>
      <c r="B11" s="175" t="s">
        <v>60</v>
      </c>
      <c r="C11" s="148"/>
      <c r="D11" s="148" t="s">
        <v>64</v>
      </c>
      <c r="E11" s="148" t="s">
        <v>625</v>
      </c>
      <c r="F11" s="148" t="s">
        <v>65</v>
      </c>
      <c r="G11" s="148"/>
      <c r="H11" s="148" t="s">
        <v>347</v>
      </c>
      <c r="I11" s="148" t="s">
        <v>32</v>
      </c>
      <c r="J11" s="148"/>
      <c r="K11" s="148"/>
      <c r="L11" s="162"/>
      <c r="M11" s="156"/>
      <c r="N11" s="156"/>
      <c r="O11" s="156"/>
      <c r="P11" s="156"/>
      <c r="Q11" s="156"/>
      <c r="R11" s="156"/>
      <c r="S11" s="156"/>
      <c r="T11" s="156"/>
      <c r="U11" s="156"/>
      <c r="V11" s="156"/>
      <c r="W11" s="156"/>
      <c r="X11" s="156"/>
      <c r="Y11" s="156"/>
      <c r="Z11" s="156"/>
    </row>
    <row r="12" spans="1:26" s="151" customFormat="1" ht="55.05" customHeight="1" x14ac:dyDescent="0.25">
      <c r="A12" s="152" t="str">
        <f t="shared" si="0"/>
        <v>Đặt hàng-4</v>
      </c>
      <c r="B12" s="148"/>
      <c r="C12" s="148"/>
      <c r="D12" s="148" t="s">
        <v>67</v>
      </c>
      <c r="E12" s="148" t="s">
        <v>625</v>
      </c>
      <c r="F12" s="148" t="s">
        <v>153</v>
      </c>
      <c r="G12" s="148"/>
      <c r="H12" s="148" t="s">
        <v>154</v>
      </c>
      <c r="I12" s="148" t="s">
        <v>32</v>
      </c>
      <c r="J12" s="148"/>
      <c r="K12" s="148"/>
      <c r="L12" s="149"/>
      <c r="M12" s="150"/>
      <c r="N12" s="150"/>
      <c r="O12" s="150"/>
      <c r="P12" s="150"/>
      <c r="Q12" s="150"/>
      <c r="R12" s="150"/>
      <c r="S12" s="150"/>
      <c r="T12" s="150"/>
      <c r="U12" s="150"/>
      <c r="V12" s="150"/>
      <c r="W12" s="150"/>
      <c r="X12" s="150"/>
      <c r="Y12" s="150"/>
      <c r="Z12" s="150"/>
    </row>
    <row r="13" spans="1:26" s="151" customFormat="1" ht="87" customHeight="1" x14ac:dyDescent="0.25">
      <c r="A13" s="152" t="str">
        <f t="shared" si="0"/>
        <v>Đặt hàng-5</v>
      </c>
      <c r="B13" s="148"/>
      <c r="C13" s="148"/>
      <c r="D13" s="148" t="s">
        <v>68</v>
      </c>
      <c r="E13" s="148" t="s">
        <v>625</v>
      </c>
      <c r="F13" s="148" t="s">
        <v>155</v>
      </c>
      <c r="G13" s="148"/>
      <c r="H13" s="148" t="s">
        <v>630</v>
      </c>
      <c r="I13" s="148" t="s">
        <v>32</v>
      </c>
      <c r="J13" s="148"/>
      <c r="K13" s="148"/>
      <c r="L13" s="149"/>
      <c r="M13" s="150"/>
      <c r="N13" s="150"/>
      <c r="O13" s="150"/>
      <c r="P13" s="150"/>
      <c r="Q13" s="150"/>
      <c r="R13" s="150"/>
      <c r="S13" s="150"/>
      <c r="T13" s="150"/>
      <c r="U13" s="150"/>
      <c r="V13" s="150"/>
      <c r="W13" s="150"/>
      <c r="X13" s="150"/>
      <c r="Y13" s="150"/>
      <c r="Z13" s="150"/>
    </row>
    <row r="14" spans="1:26" s="151" customFormat="1" ht="55.05" customHeight="1" x14ac:dyDescent="0.25">
      <c r="A14" s="152" t="str">
        <f t="shared" si="0"/>
        <v>Đặt hàng-6</v>
      </c>
      <c r="B14" s="148"/>
      <c r="C14" s="148"/>
      <c r="D14" s="148" t="s">
        <v>69</v>
      </c>
      <c r="E14" s="148" t="s">
        <v>625</v>
      </c>
      <c r="F14" s="148" t="s">
        <v>303</v>
      </c>
      <c r="G14" s="148"/>
      <c r="H14" s="148" t="s">
        <v>342</v>
      </c>
      <c r="I14" s="148" t="s">
        <v>32</v>
      </c>
      <c r="J14" s="148"/>
      <c r="K14" s="148"/>
      <c r="L14" s="149"/>
      <c r="M14" s="150"/>
      <c r="N14" s="150"/>
      <c r="O14" s="150"/>
      <c r="P14" s="150"/>
      <c r="Q14" s="150"/>
      <c r="R14" s="150"/>
      <c r="S14" s="150"/>
      <c r="T14" s="150"/>
      <c r="U14" s="150"/>
      <c r="V14" s="150"/>
      <c r="W14" s="150"/>
      <c r="X14" s="150"/>
      <c r="Y14" s="150"/>
      <c r="Z14" s="150"/>
    </row>
    <row r="15" spans="1:26" s="151" customFormat="1" ht="90.6" customHeight="1" x14ac:dyDescent="0.25">
      <c r="A15" s="152" t="str">
        <f t="shared" si="0"/>
        <v>Đặt hàng-7</v>
      </c>
      <c r="B15" s="148" t="s">
        <v>61</v>
      </c>
      <c r="C15" s="148" t="s">
        <v>139</v>
      </c>
      <c r="D15" s="148" t="s">
        <v>140</v>
      </c>
      <c r="E15" s="148" t="s">
        <v>626</v>
      </c>
      <c r="F15" s="148" t="s">
        <v>492</v>
      </c>
      <c r="G15" s="148" t="s">
        <v>343</v>
      </c>
      <c r="H15" s="148" t="s">
        <v>415</v>
      </c>
      <c r="I15" s="148" t="s">
        <v>32</v>
      </c>
      <c r="J15" s="148"/>
      <c r="K15" s="148"/>
      <c r="L15" s="162"/>
      <c r="M15" s="156"/>
      <c r="N15" s="156"/>
      <c r="O15" s="156"/>
      <c r="P15" s="156"/>
      <c r="Q15" s="156"/>
      <c r="R15" s="156"/>
      <c r="S15" s="156"/>
      <c r="T15" s="156"/>
      <c r="U15" s="156"/>
      <c r="V15" s="156"/>
      <c r="W15" s="156"/>
      <c r="X15" s="156"/>
      <c r="Y15" s="156"/>
      <c r="Z15" s="156"/>
    </row>
    <row r="16" spans="1:26" s="151" customFormat="1" ht="78" customHeight="1" x14ac:dyDescent="0.25">
      <c r="A16" s="152" t="str">
        <f t="shared" si="0"/>
        <v>Đặt hàng-8</v>
      </c>
      <c r="B16" s="148"/>
      <c r="C16" s="148"/>
      <c r="D16" s="148" t="s">
        <v>130</v>
      </c>
      <c r="E16" s="148" t="s">
        <v>626</v>
      </c>
      <c r="F16" s="148" t="s">
        <v>493</v>
      </c>
      <c r="G16" s="148" t="s">
        <v>241</v>
      </c>
      <c r="H16" s="148" t="s">
        <v>627</v>
      </c>
      <c r="I16" s="148" t="s">
        <v>32</v>
      </c>
      <c r="J16" s="148"/>
      <c r="K16" s="148"/>
      <c r="L16" s="162"/>
      <c r="M16" s="156"/>
      <c r="N16" s="156"/>
      <c r="O16" s="156"/>
      <c r="P16" s="156"/>
      <c r="Q16" s="156"/>
      <c r="R16" s="156"/>
      <c r="S16" s="156"/>
      <c r="T16" s="156"/>
      <c r="U16" s="156"/>
      <c r="V16" s="156"/>
      <c r="W16" s="156"/>
      <c r="X16" s="156"/>
      <c r="Y16" s="156"/>
      <c r="Z16" s="156"/>
    </row>
    <row r="17" spans="1:26" s="151" customFormat="1" ht="70.2" customHeight="1" x14ac:dyDescent="0.25">
      <c r="A17" s="152" t="str">
        <f t="shared" si="0"/>
        <v>Đặt hàng-9</v>
      </c>
      <c r="B17" s="148"/>
      <c r="C17" s="148"/>
      <c r="D17" s="148" t="s">
        <v>494</v>
      </c>
      <c r="E17" s="148" t="s">
        <v>626</v>
      </c>
      <c r="F17" s="148" t="s">
        <v>495</v>
      </c>
      <c r="G17" s="148" t="s">
        <v>496</v>
      </c>
      <c r="H17" s="148" t="s">
        <v>509</v>
      </c>
      <c r="I17" s="148" t="s">
        <v>32</v>
      </c>
      <c r="J17" s="148"/>
      <c r="K17" s="148"/>
      <c r="L17" s="149"/>
      <c r="M17" s="150"/>
      <c r="N17" s="150"/>
      <c r="O17" s="150"/>
      <c r="P17" s="150"/>
      <c r="Q17" s="150"/>
      <c r="R17" s="150"/>
      <c r="S17" s="150"/>
      <c r="T17" s="150"/>
      <c r="U17" s="150"/>
      <c r="V17" s="150"/>
      <c r="W17" s="150"/>
      <c r="X17" s="150"/>
      <c r="Y17" s="150"/>
      <c r="Z17" s="150"/>
    </row>
    <row r="18" spans="1:26" s="176" customFormat="1" ht="123.6" customHeight="1" x14ac:dyDescent="0.25">
      <c r="A18" s="152" t="str">
        <f t="shared" si="0"/>
        <v>Đặt hàng-10</v>
      </c>
      <c r="B18" s="159" t="s">
        <v>62</v>
      </c>
      <c r="C18" s="159" t="s">
        <v>131</v>
      </c>
      <c r="D18" s="159" t="s">
        <v>147</v>
      </c>
      <c r="E18" s="148" t="s">
        <v>635</v>
      </c>
      <c r="F18" s="159" t="s">
        <v>636</v>
      </c>
      <c r="G18" s="159"/>
      <c r="H18" s="159" t="s">
        <v>628</v>
      </c>
      <c r="I18" s="159" t="s">
        <v>32</v>
      </c>
      <c r="J18" s="159"/>
      <c r="K18" s="159"/>
      <c r="L18" s="149"/>
      <c r="M18" s="150"/>
      <c r="N18" s="150"/>
      <c r="O18" s="150"/>
      <c r="P18" s="150"/>
      <c r="Q18" s="150"/>
      <c r="R18" s="150"/>
      <c r="S18" s="150"/>
      <c r="T18" s="150"/>
      <c r="U18" s="150"/>
      <c r="V18" s="150"/>
      <c r="W18" s="150"/>
      <c r="X18" s="150"/>
      <c r="Y18" s="150"/>
      <c r="Z18" s="150"/>
    </row>
    <row r="19" spans="1:26" s="166" customFormat="1" ht="70.2" customHeight="1" x14ac:dyDescent="0.25">
      <c r="A19" s="152" t="str">
        <f t="shared" si="0"/>
        <v>Đặt hàng-11</v>
      </c>
      <c r="B19" s="165"/>
      <c r="C19" s="165"/>
      <c r="D19" s="157" t="s">
        <v>106</v>
      </c>
      <c r="E19" s="148" t="s">
        <v>629</v>
      </c>
      <c r="F19" s="159" t="s">
        <v>636</v>
      </c>
      <c r="G19" s="165"/>
      <c r="H19" s="157" t="s">
        <v>631</v>
      </c>
      <c r="I19" s="185" t="s">
        <v>32</v>
      </c>
      <c r="J19" s="165"/>
      <c r="K19" s="157"/>
      <c r="L19" s="165"/>
      <c r="M19" s="165"/>
      <c r="N19" s="165"/>
      <c r="O19" s="165"/>
      <c r="P19" s="165"/>
      <c r="Q19" s="165"/>
      <c r="R19" s="165"/>
      <c r="S19" s="165"/>
      <c r="T19" s="165"/>
      <c r="U19" s="165"/>
      <c r="V19" s="165"/>
      <c r="W19" s="165"/>
      <c r="X19" s="165"/>
      <c r="Y19" s="165"/>
      <c r="Z19" s="165"/>
    </row>
    <row r="20" spans="1:26" s="166" customFormat="1" ht="81" customHeight="1" x14ac:dyDescent="0.25">
      <c r="A20" s="152" t="str">
        <f t="shared" si="0"/>
        <v>Đặt hàng-12</v>
      </c>
      <c r="B20" s="165"/>
      <c r="C20" s="165"/>
      <c r="D20" s="157" t="s">
        <v>148</v>
      </c>
      <c r="E20" s="157" t="s">
        <v>249</v>
      </c>
      <c r="F20" s="157" t="s">
        <v>344</v>
      </c>
      <c r="G20" s="165"/>
      <c r="H20" s="157" t="s">
        <v>329</v>
      </c>
      <c r="I20" s="158" t="s">
        <v>39</v>
      </c>
      <c r="J20" s="165"/>
      <c r="K20" s="165"/>
      <c r="L20" s="165"/>
      <c r="M20" s="165"/>
      <c r="N20" s="165"/>
      <c r="O20" s="165"/>
      <c r="P20" s="165"/>
      <c r="Q20" s="165"/>
      <c r="R20" s="165"/>
      <c r="S20" s="165"/>
      <c r="T20" s="165"/>
      <c r="U20" s="165"/>
      <c r="V20" s="165"/>
      <c r="W20" s="165"/>
      <c r="X20" s="165"/>
      <c r="Y20" s="165"/>
      <c r="Z20" s="165"/>
    </row>
    <row r="21" spans="1:26" ht="12.75" customHeight="1" x14ac:dyDescent="0.25">
      <c r="A21" s="133"/>
      <c r="B21" s="8"/>
      <c r="C21" s="8"/>
      <c r="D21" s="8"/>
      <c r="E21" s="8"/>
      <c r="F21" s="8"/>
      <c r="G21" s="8"/>
      <c r="H21" s="8"/>
      <c r="I21" s="8"/>
      <c r="J21" s="8"/>
      <c r="K21" s="8"/>
      <c r="L21" s="94"/>
      <c r="M21" s="8"/>
      <c r="N21" s="8"/>
      <c r="O21" s="8"/>
      <c r="P21" s="8"/>
      <c r="Q21" s="8"/>
      <c r="R21" s="8"/>
      <c r="S21" s="8"/>
      <c r="T21" s="8"/>
      <c r="U21" s="8"/>
      <c r="V21" s="8"/>
      <c r="W21" s="8"/>
      <c r="X21" s="8"/>
      <c r="Y21" s="8"/>
      <c r="Z21" s="8"/>
    </row>
    <row r="22" spans="1:26" ht="12.75" customHeight="1" x14ac:dyDescent="0.25">
      <c r="A22" s="133"/>
      <c r="B22" s="8"/>
      <c r="C22" s="8"/>
      <c r="D22" s="8"/>
      <c r="E22" s="8"/>
      <c r="F22" s="8"/>
      <c r="G22" s="8"/>
      <c r="H22" s="8"/>
      <c r="I22" s="8"/>
      <c r="J22" s="8"/>
      <c r="K22" s="8"/>
      <c r="L22" s="94"/>
      <c r="M22" s="8"/>
      <c r="N22" s="8"/>
      <c r="O22" s="8"/>
      <c r="P22" s="8"/>
      <c r="Q22" s="8"/>
      <c r="R22" s="8"/>
      <c r="S22" s="8"/>
      <c r="T22" s="8"/>
      <c r="U22" s="8"/>
      <c r="V22" s="8"/>
      <c r="W22" s="8"/>
      <c r="X22" s="8"/>
      <c r="Y22" s="8"/>
      <c r="Z22" s="8"/>
    </row>
    <row r="23" spans="1:26" ht="12.75" customHeight="1" x14ac:dyDescent="0.25">
      <c r="A23" s="133"/>
      <c r="B23" s="8"/>
      <c r="C23" s="8"/>
      <c r="D23" s="8"/>
      <c r="E23" s="8"/>
      <c r="F23" s="8"/>
      <c r="G23" s="8"/>
      <c r="H23" s="8"/>
      <c r="I23" s="8"/>
      <c r="J23" s="8"/>
      <c r="K23" s="8"/>
      <c r="L23" s="94"/>
      <c r="M23" s="8"/>
      <c r="N23" s="8"/>
      <c r="O23" s="8"/>
      <c r="P23" s="8"/>
      <c r="Q23" s="8"/>
      <c r="R23" s="8"/>
      <c r="S23" s="8"/>
      <c r="T23" s="8"/>
      <c r="U23" s="8"/>
      <c r="V23" s="8"/>
      <c r="W23" s="8"/>
      <c r="X23" s="8"/>
      <c r="Y23" s="8"/>
      <c r="Z23" s="8"/>
    </row>
    <row r="24" spans="1:26" ht="12.75" customHeight="1" x14ac:dyDescent="0.25">
      <c r="A24" s="133"/>
      <c r="B24" s="8"/>
      <c r="C24" s="8"/>
      <c r="D24" s="8"/>
      <c r="E24" s="8"/>
      <c r="F24" s="8"/>
      <c r="G24" s="8"/>
      <c r="H24" s="8"/>
      <c r="I24" s="8"/>
      <c r="J24" s="8"/>
      <c r="K24" s="8"/>
      <c r="L24" s="94"/>
      <c r="M24" s="8"/>
      <c r="N24" s="8"/>
      <c r="O24" s="8"/>
      <c r="P24" s="8"/>
      <c r="Q24" s="8"/>
      <c r="R24" s="8"/>
      <c r="S24" s="8"/>
      <c r="T24" s="8"/>
      <c r="U24" s="8"/>
      <c r="V24" s="8"/>
      <c r="W24" s="8"/>
      <c r="X24" s="8"/>
      <c r="Y24" s="8"/>
      <c r="Z24" s="8"/>
    </row>
    <row r="25" spans="1:26" ht="12.75" customHeight="1" x14ac:dyDescent="0.25">
      <c r="A25" s="133"/>
      <c r="B25" s="8"/>
      <c r="C25" s="8"/>
      <c r="D25" s="8"/>
      <c r="E25" s="8"/>
      <c r="F25" s="8"/>
      <c r="G25" s="8"/>
      <c r="H25" s="8"/>
      <c r="I25" s="8"/>
      <c r="J25" s="8"/>
      <c r="K25" s="8"/>
      <c r="L25" s="94"/>
      <c r="M25" s="8"/>
      <c r="N25" s="8"/>
      <c r="O25" s="8"/>
      <c r="P25" s="8"/>
      <c r="Q25" s="8"/>
      <c r="R25" s="8"/>
      <c r="S25" s="8"/>
      <c r="T25" s="8"/>
      <c r="U25" s="8"/>
      <c r="V25" s="8"/>
      <c r="W25" s="8"/>
      <c r="X25" s="8"/>
      <c r="Y25" s="8"/>
      <c r="Z25" s="8"/>
    </row>
    <row r="26" spans="1:26" ht="12.75" customHeight="1" x14ac:dyDescent="0.25">
      <c r="A26" s="133"/>
      <c r="B26" s="8"/>
      <c r="C26" s="8"/>
      <c r="D26" s="8"/>
      <c r="E26" s="8"/>
      <c r="F26" s="8"/>
      <c r="G26" s="8"/>
      <c r="H26" s="8"/>
      <c r="I26" s="8"/>
      <c r="J26" s="8"/>
      <c r="K26" s="8"/>
      <c r="L26" s="94"/>
      <c r="M26" s="8"/>
      <c r="N26" s="8"/>
      <c r="O26" s="8"/>
      <c r="P26" s="8"/>
      <c r="Q26" s="8"/>
      <c r="R26" s="8"/>
      <c r="S26" s="8"/>
      <c r="T26" s="8"/>
      <c r="U26" s="8"/>
      <c r="V26" s="8"/>
      <c r="W26" s="8"/>
      <c r="X26" s="8"/>
      <c r="Y26" s="8"/>
      <c r="Z26" s="8"/>
    </row>
    <row r="27" spans="1:26" ht="12.75" customHeight="1" x14ac:dyDescent="0.25">
      <c r="A27" s="133"/>
      <c r="B27" s="8"/>
      <c r="C27" s="8"/>
      <c r="D27" s="8"/>
      <c r="E27" s="8"/>
      <c r="F27" s="8"/>
      <c r="G27" s="8"/>
      <c r="H27" s="8"/>
      <c r="I27" s="8"/>
      <c r="J27" s="8"/>
      <c r="K27" s="8"/>
      <c r="L27" s="94"/>
      <c r="M27" s="8"/>
      <c r="N27" s="8"/>
      <c r="O27" s="8"/>
      <c r="P27" s="8"/>
      <c r="Q27" s="8"/>
      <c r="R27" s="8"/>
      <c r="S27" s="8"/>
      <c r="T27" s="8"/>
      <c r="U27" s="8"/>
      <c r="V27" s="8"/>
      <c r="W27" s="8"/>
      <c r="X27" s="8"/>
      <c r="Y27" s="8"/>
      <c r="Z27" s="8"/>
    </row>
    <row r="28" spans="1:26" ht="12.75" customHeight="1" x14ac:dyDescent="0.25">
      <c r="A28" s="133"/>
      <c r="B28" s="8"/>
      <c r="C28" s="8"/>
      <c r="D28" s="8"/>
      <c r="E28" s="8"/>
      <c r="F28" s="8"/>
      <c r="G28" s="8"/>
      <c r="H28" s="8"/>
      <c r="I28" s="8"/>
      <c r="J28" s="8"/>
      <c r="K28" s="8"/>
      <c r="L28" s="94"/>
      <c r="M28" s="8"/>
      <c r="N28" s="8"/>
      <c r="O28" s="8"/>
      <c r="P28" s="8"/>
      <c r="Q28" s="8"/>
      <c r="R28" s="8"/>
      <c r="S28" s="8"/>
      <c r="T28" s="8"/>
      <c r="U28" s="8"/>
      <c r="V28" s="8"/>
      <c r="W28" s="8"/>
      <c r="X28" s="8"/>
      <c r="Y28" s="8"/>
      <c r="Z28" s="8"/>
    </row>
    <row r="29" spans="1:26" ht="12.75" customHeight="1" x14ac:dyDescent="0.25">
      <c r="A29" s="133"/>
      <c r="B29" s="8"/>
      <c r="C29" s="8"/>
      <c r="D29" s="8"/>
      <c r="E29" s="8"/>
      <c r="F29" s="8"/>
      <c r="G29" s="8"/>
      <c r="H29" s="8"/>
      <c r="I29" s="8"/>
      <c r="J29" s="8"/>
      <c r="K29" s="8"/>
      <c r="L29" s="94"/>
      <c r="M29" s="8"/>
      <c r="N29" s="8"/>
      <c r="O29" s="8"/>
      <c r="P29" s="8"/>
      <c r="Q29" s="8"/>
      <c r="R29" s="8"/>
      <c r="S29" s="8"/>
      <c r="T29" s="8"/>
      <c r="U29" s="8"/>
      <c r="V29" s="8"/>
      <c r="W29" s="8"/>
      <c r="X29" s="8"/>
      <c r="Y29" s="8"/>
      <c r="Z29" s="8"/>
    </row>
    <row r="30" spans="1:26" ht="12.75" customHeight="1" x14ac:dyDescent="0.25">
      <c r="A30" s="133"/>
      <c r="B30" s="8"/>
      <c r="C30" s="8"/>
      <c r="D30" s="8"/>
      <c r="E30" s="8"/>
      <c r="F30" s="8"/>
      <c r="G30" s="8"/>
      <c r="H30" s="8"/>
      <c r="I30" s="8"/>
      <c r="J30" s="8"/>
      <c r="K30" s="8"/>
      <c r="L30" s="94"/>
      <c r="M30" s="8"/>
      <c r="N30" s="8"/>
      <c r="O30" s="8"/>
      <c r="P30" s="8"/>
      <c r="Q30" s="8"/>
      <c r="R30" s="8"/>
      <c r="S30" s="8"/>
      <c r="T30" s="8"/>
      <c r="U30" s="8"/>
      <c r="V30" s="8"/>
      <c r="W30" s="8"/>
      <c r="X30" s="8"/>
      <c r="Y30" s="8"/>
      <c r="Z30" s="8"/>
    </row>
    <row r="31" spans="1:26" ht="12.75" customHeight="1" x14ac:dyDescent="0.25">
      <c r="A31" s="133"/>
      <c r="B31" s="8"/>
      <c r="C31" s="8"/>
      <c r="D31" s="8"/>
      <c r="E31" s="8"/>
      <c r="F31" s="8"/>
      <c r="G31" s="8"/>
      <c r="H31" s="8"/>
      <c r="I31" s="8"/>
      <c r="J31" s="8"/>
      <c r="K31" s="8"/>
      <c r="L31" s="94"/>
      <c r="M31" s="8"/>
      <c r="N31" s="8"/>
      <c r="O31" s="8"/>
      <c r="P31" s="8"/>
      <c r="Q31" s="8"/>
      <c r="R31" s="8"/>
      <c r="S31" s="8"/>
      <c r="T31" s="8"/>
      <c r="U31" s="8"/>
      <c r="V31" s="8"/>
      <c r="W31" s="8"/>
      <c r="X31" s="8"/>
      <c r="Y31" s="8"/>
      <c r="Z31" s="8"/>
    </row>
    <row r="32" spans="1:26" ht="12.75" customHeight="1" x14ac:dyDescent="0.25">
      <c r="A32" s="133"/>
      <c r="B32" s="8"/>
      <c r="C32" s="8"/>
      <c r="D32" s="8"/>
      <c r="E32" s="8"/>
      <c r="F32" s="8"/>
      <c r="G32" s="8"/>
      <c r="H32" s="8"/>
      <c r="I32" s="8"/>
      <c r="J32" s="8"/>
      <c r="K32" s="8"/>
      <c r="L32" s="94"/>
      <c r="M32" s="8"/>
      <c r="N32" s="8"/>
      <c r="O32" s="8"/>
      <c r="P32" s="8"/>
      <c r="Q32" s="8"/>
      <c r="R32" s="8"/>
      <c r="S32" s="8"/>
      <c r="T32" s="8"/>
      <c r="U32" s="8"/>
      <c r="V32" s="8"/>
      <c r="W32" s="8"/>
      <c r="X32" s="8"/>
      <c r="Y32" s="8"/>
      <c r="Z32" s="8"/>
    </row>
    <row r="33" spans="1:26" ht="12.75" customHeight="1" x14ac:dyDescent="0.25">
      <c r="A33" s="133"/>
      <c r="B33" s="8"/>
      <c r="C33" s="8"/>
      <c r="D33" s="8"/>
      <c r="E33" s="8"/>
      <c r="F33" s="8"/>
      <c r="G33" s="8"/>
      <c r="H33" s="8"/>
      <c r="I33" s="8"/>
      <c r="J33" s="8"/>
      <c r="K33" s="8"/>
      <c r="L33" s="94"/>
      <c r="M33" s="8"/>
      <c r="N33" s="8"/>
      <c r="O33" s="8"/>
      <c r="P33" s="8"/>
      <c r="Q33" s="8"/>
      <c r="R33" s="8"/>
      <c r="S33" s="8"/>
      <c r="T33" s="8"/>
      <c r="U33" s="8"/>
      <c r="V33" s="8"/>
      <c r="W33" s="8"/>
      <c r="X33" s="8"/>
      <c r="Y33" s="8"/>
      <c r="Z33" s="8"/>
    </row>
    <row r="34" spans="1:26" ht="12.75" customHeight="1" x14ac:dyDescent="0.25">
      <c r="A34" s="133"/>
      <c r="B34" s="8"/>
      <c r="C34" s="8"/>
      <c r="D34" s="8"/>
      <c r="E34" s="8"/>
      <c r="F34" s="8"/>
      <c r="G34" s="8"/>
      <c r="H34" s="8"/>
      <c r="I34" s="8"/>
      <c r="J34" s="8"/>
      <c r="K34" s="8"/>
      <c r="L34" s="94"/>
      <c r="M34" s="8"/>
      <c r="N34" s="8"/>
      <c r="O34" s="8"/>
      <c r="P34" s="8"/>
      <c r="Q34" s="8"/>
      <c r="R34" s="8"/>
      <c r="S34" s="8"/>
      <c r="T34" s="8"/>
      <c r="U34" s="8"/>
      <c r="V34" s="8"/>
      <c r="W34" s="8"/>
      <c r="X34" s="8"/>
      <c r="Y34" s="8"/>
      <c r="Z34" s="8"/>
    </row>
    <row r="35" spans="1:26" ht="12.75" customHeight="1" x14ac:dyDescent="0.25">
      <c r="A35" s="133"/>
      <c r="B35" s="8"/>
      <c r="C35" s="8"/>
      <c r="D35" s="8"/>
      <c r="E35" s="8"/>
      <c r="F35" s="8"/>
      <c r="G35" s="8"/>
      <c r="H35" s="8"/>
      <c r="I35" s="8"/>
      <c r="J35" s="8"/>
      <c r="K35" s="8"/>
      <c r="L35" s="94"/>
      <c r="M35" s="8"/>
      <c r="N35" s="8"/>
      <c r="O35" s="8"/>
      <c r="P35" s="8"/>
      <c r="Q35" s="8"/>
      <c r="R35" s="8"/>
      <c r="S35" s="8"/>
      <c r="T35" s="8"/>
      <c r="U35" s="8"/>
      <c r="V35" s="8"/>
      <c r="W35" s="8"/>
      <c r="X35" s="8"/>
      <c r="Y35" s="8"/>
      <c r="Z35" s="8"/>
    </row>
    <row r="36" spans="1:26" ht="12.75" customHeight="1" x14ac:dyDescent="0.25">
      <c r="A36" s="133"/>
      <c r="B36" s="8"/>
      <c r="C36" s="8"/>
      <c r="D36" s="8"/>
      <c r="E36" s="8"/>
      <c r="F36" s="8"/>
      <c r="G36" s="8"/>
      <c r="H36" s="8"/>
      <c r="I36" s="8"/>
      <c r="J36" s="8"/>
      <c r="K36" s="8"/>
      <c r="L36" s="94"/>
      <c r="M36" s="8"/>
      <c r="N36" s="8"/>
      <c r="O36" s="8"/>
      <c r="P36" s="8"/>
      <c r="Q36" s="8"/>
      <c r="R36" s="8"/>
      <c r="S36" s="8"/>
      <c r="T36" s="8"/>
      <c r="U36" s="8"/>
      <c r="V36" s="8"/>
      <c r="W36" s="8"/>
      <c r="X36" s="8"/>
      <c r="Y36" s="8"/>
      <c r="Z36" s="8"/>
    </row>
    <row r="37" spans="1:26" ht="12.75" customHeight="1" x14ac:dyDescent="0.25">
      <c r="A37" s="133"/>
      <c r="B37" s="8"/>
      <c r="C37" s="8"/>
      <c r="D37" s="8"/>
      <c r="E37" s="8"/>
      <c r="F37" s="8"/>
      <c r="G37" s="8"/>
      <c r="H37" s="8"/>
      <c r="I37" s="8"/>
      <c r="J37" s="8"/>
      <c r="K37" s="8"/>
      <c r="L37" s="94"/>
      <c r="M37" s="8"/>
      <c r="N37" s="8"/>
      <c r="O37" s="8"/>
      <c r="P37" s="8"/>
      <c r="Q37" s="8"/>
      <c r="R37" s="8"/>
      <c r="S37" s="8"/>
      <c r="T37" s="8"/>
      <c r="U37" s="8"/>
      <c r="V37" s="8"/>
      <c r="W37" s="8"/>
      <c r="X37" s="8"/>
      <c r="Y37" s="8"/>
      <c r="Z37" s="8"/>
    </row>
    <row r="38" spans="1:26" ht="12.75" customHeight="1" x14ac:dyDescent="0.25">
      <c r="A38" s="133"/>
      <c r="B38" s="8"/>
      <c r="C38" s="8"/>
      <c r="D38" s="8"/>
      <c r="E38" s="8"/>
      <c r="F38" s="8"/>
      <c r="G38" s="8"/>
      <c r="H38" s="8"/>
      <c r="I38" s="8"/>
      <c r="J38" s="8"/>
      <c r="K38" s="8"/>
      <c r="L38" s="94"/>
      <c r="M38" s="8"/>
      <c r="N38" s="8"/>
      <c r="O38" s="8"/>
      <c r="P38" s="8"/>
      <c r="Q38" s="8"/>
      <c r="R38" s="8"/>
      <c r="S38" s="8"/>
      <c r="T38" s="8"/>
      <c r="U38" s="8"/>
      <c r="V38" s="8"/>
      <c r="W38" s="8"/>
      <c r="X38" s="8"/>
      <c r="Y38" s="8"/>
      <c r="Z38" s="8"/>
    </row>
    <row r="39" spans="1:26" ht="12.75" customHeight="1" x14ac:dyDescent="0.25">
      <c r="A39" s="133"/>
      <c r="B39" s="8"/>
      <c r="C39" s="8"/>
      <c r="D39" s="8"/>
      <c r="E39" s="8"/>
      <c r="F39" s="8"/>
      <c r="G39" s="8"/>
      <c r="H39" s="8"/>
      <c r="I39" s="8"/>
      <c r="J39" s="8"/>
      <c r="K39" s="8"/>
      <c r="L39" s="94"/>
      <c r="M39" s="8"/>
      <c r="N39" s="8"/>
      <c r="O39" s="8"/>
      <c r="P39" s="8"/>
      <c r="Q39" s="8"/>
      <c r="R39" s="8"/>
      <c r="S39" s="8"/>
      <c r="T39" s="8"/>
      <c r="U39" s="8"/>
      <c r="V39" s="8"/>
      <c r="W39" s="8"/>
      <c r="X39" s="8"/>
      <c r="Y39" s="8"/>
      <c r="Z39" s="8"/>
    </row>
    <row r="40" spans="1:26" ht="12.75" customHeight="1" x14ac:dyDescent="0.25">
      <c r="A40" s="133"/>
      <c r="B40" s="8"/>
      <c r="C40" s="8"/>
      <c r="D40" s="8"/>
      <c r="E40" s="8"/>
      <c r="F40" s="8"/>
      <c r="G40" s="8"/>
      <c r="H40" s="8"/>
      <c r="I40" s="8"/>
      <c r="J40" s="8"/>
      <c r="K40" s="8"/>
      <c r="L40" s="94"/>
      <c r="M40" s="8"/>
      <c r="N40" s="8"/>
      <c r="O40" s="8"/>
      <c r="P40" s="8"/>
      <c r="Q40" s="8"/>
      <c r="R40" s="8"/>
      <c r="S40" s="8"/>
      <c r="T40" s="8"/>
      <c r="U40" s="8"/>
      <c r="V40" s="8"/>
      <c r="W40" s="8"/>
      <c r="X40" s="8"/>
      <c r="Y40" s="8"/>
      <c r="Z40" s="8"/>
    </row>
    <row r="41" spans="1:26" ht="12.75" customHeight="1" x14ac:dyDescent="0.25">
      <c r="A41" s="133"/>
      <c r="B41" s="8"/>
      <c r="C41" s="8"/>
      <c r="D41" s="8"/>
      <c r="E41" s="8"/>
      <c r="F41" s="8"/>
      <c r="G41" s="8"/>
      <c r="H41" s="8"/>
      <c r="I41" s="8"/>
      <c r="J41" s="8"/>
      <c r="K41" s="8"/>
      <c r="L41" s="94"/>
      <c r="M41" s="8"/>
      <c r="N41" s="8"/>
      <c r="O41" s="8"/>
      <c r="P41" s="8"/>
      <c r="Q41" s="8"/>
      <c r="R41" s="8"/>
      <c r="S41" s="8"/>
      <c r="T41" s="8"/>
      <c r="U41" s="8"/>
      <c r="V41" s="8"/>
      <c r="W41" s="8"/>
      <c r="X41" s="8"/>
      <c r="Y41" s="8"/>
      <c r="Z41" s="8"/>
    </row>
    <row r="42" spans="1:26" ht="12.75" customHeight="1" x14ac:dyDescent="0.25">
      <c r="A42" s="133"/>
      <c r="B42" s="8"/>
      <c r="C42" s="8"/>
      <c r="D42" s="8"/>
      <c r="E42" s="8"/>
      <c r="F42" s="8"/>
      <c r="G42" s="8"/>
      <c r="H42" s="8"/>
      <c r="I42" s="8"/>
      <c r="J42" s="8"/>
      <c r="K42" s="8"/>
      <c r="L42" s="94"/>
      <c r="M42" s="8"/>
      <c r="N42" s="8"/>
      <c r="O42" s="8"/>
      <c r="P42" s="8"/>
      <c r="Q42" s="8"/>
      <c r="R42" s="8"/>
      <c r="S42" s="8"/>
      <c r="T42" s="8"/>
      <c r="U42" s="8"/>
      <c r="V42" s="8"/>
      <c r="W42" s="8"/>
      <c r="X42" s="8"/>
      <c r="Y42" s="8"/>
      <c r="Z42" s="8"/>
    </row>
    <row r="43" spans="1:26" ht="12.75" customHeight="1" x14ac:dyDescent="0.25">
      <c r="A43" s="133"/>
      <c r="B43" s="8"/>
      <c r="C43" s="8"/>
      <c r="D43" s="8"/>
      <c r="E43" s="8"/>
      <c r="F43" s="8"/>
      <c r="G43" s="8"/>
      <c r="H43" s="8"/>
      <c r="I43" s="8"/>
      <c r="J43" s="8"/>
      <c r="K43" s="8"/>
      <c r="L43" s="94"/>
      <c r="M43" s="8"/>
      <c r="N43" s="8"/>
      <c r="O43" s="8"/>
      <c r="P43" s="8"/>
      <c r="Q43" s="8"/>
      <c r="R43" s="8"/>
      <c r="S43" s="8"/>
      <c r="T43" s="8"/>
      <c r="U43" s="8"/>
      <c r="V43" s="8"/>
      <c r="W43" s="8"/>
      <c r="X43" s="8"/>
      <c r="Y43" s="8"/>
      <c r="Z43" s="8"/>
    </row>
    <row r="44" spans="1:26" ht="12.75" customHeight="1" x14ac:dyDescent="0.25">
      <c r="A44" s="133"/>
      <c r="B44" s="8"/>
      <c r="C44" s="8"/>
      <c r="D44" s="8"/>
      <c r="E44" s="8"/>
      <c r="F44" s="8"/>
      <c r="G44" s="8"/>
      <c r="H44" s="8"/>
      <c r="I44" s="8"/>
      <c r="J44" s="8"/>
      <c r="K44" s="8"/>
      <c r="L44" s="94"/>
      <c r="M44" s="8"/>
      <c r="N44" s="8"/>
      <c r="O44" s="8"/>
      <c r="P44" s="8"/>
      <c r="Q44" s="8"/>
      <c r="R44" s="8"/>
      <c r="S44" s="8"/>
      <c r="T44" s="8"/>
      <c r="U44" s="8"/>
      <c r="V44" s="8"/>
      <c r="W44" s="8"/>
      <c r="X44" s="8"/>
      <c r="Y44" s="8"/>
      <c r="Z44" s="8"/>
    </row>
    <row r="45" spans="1:26" ht="12.75" customHeight="1" x14ac:dyDescent="0.25">
      <c r="A45" s="133"/>
      <c r="B45" s="8"/>
      <c r="C45" s="8"/>
      <c r="D45" s="8"/>
      <c r="E45" s="8"/>
      <c r="F45" s="8"/>
      <c r="G45" s="8"/>
      <c r="H45" s="8"/>
      <c r="I45" s="8"/>
      <c r="J45" s="8"/>
      <c r="K45" s="8"/>
      <c r="L45" s="94"/>
      <c r="M45" s="8"/>
      <c r="N45" s="8"/>
      <c r="O45" s="8"/>
      <c r="P45" s="8"/>
      <c r="Q45" s="8"/>
      <c r="R45" s="8"/>
      <c r="S45" s="8"/>
      <c r="T45" s="8"/>
      <c r="U45" s="8"/>
      <c r="V45" s="8"/>
      <c r="W45" s="8"/>
      <c r="X45" s="8"/>
      <c r="Y45" s="8"/>
      <c r="Z45" s="8"/>
    </row>
    <row r="46" spans="1:26" ht="12.75" customHeight="1" x14ac:dyDescent="0.25">
      <c r="A46" s="133"/>
      <c r="B46" s="8"/>
      <c r="C46" s="8"/>
      <c r="D46" s="8"/>
      <c r="E46" s="8"/>
      <c r="F46" s="8"/>
      <c r="G46" s="8"/>
      <c r="H46" s="8"/>
      <c r="I46" s="8"/>
      <c r="J46" s="8"/>
      <c r="K46" s="8"/>
      <c r="L46" s="94"/>
      <c r="M46" s="8"/>
      <c r="N46" s="8"/>
      <c r="O46" s="8"/>
      <c r="P46" s="8"/>
      <c r="Q46" s="8"/>
      <c r="R46" s="8"/>
      <c r="S46" s="8"/>
      <c r="T46" s="8"/>
      <c r="U46" s="8"/>
      <c r="V46" s="8"/>
      <c r="W46" s="8"/>
      <c r="X46" s="8"/>
      <c r="Y46" s="8"/>
      <c r="Z46" s="8"/>
    </row>
    <row r="47" spans="1:26" ht="12.75" customHeight="1" x14ac:dyDescent="0.25">
      <c r="A47" s="133"/>
      <c r="B47" s="8"/>
      <c r="C47" s="8"/>
      <c r="D47" s="8"/>
      <c r="E47" s="8"/>
      <c r="F47" s="8"/>
      <c r="G47" s="8"/>
      <c r="H47" s="8"/>
      <c r="I47" s="8"/>
      <c r="J47" s="8"/>
      <c r="K47" s="8"/>
      <c r="L47" s="94"/>
      <c r="M47" s="8"/>
      <c r="N47" s="8"/>
      <c r="O47" s="8"/>
      <c r="P47" s="8"/>
      <c r="Q47" s="8"/>
      <c r="R47" s="8"/>
      <c r="S47" s="8"/>
      <c r="T47" s="8"/>
      <c r="U47" s="8"/>
      <c r="V47" s="8"/>
      <c r="W47" s="8"/>
      <c r="X47" s="8"/>
      <c r="Y47" s="8"/>
      <c r="Z47" s="8"/>
    </row>
    <row r="48" spans="1:26" ht="12.75" customHeight="1" x14ac:dyDescent="0.25">
      <c r="A48" s="133"/>
      <c r="B48" s="8"/>
      <c r="C48" s="8"/>
      <c r="D48" s="8"/>
      <c r="E48" s="8"/>
      <c r="F48" s="8"/>
      <c r="G48" s="8"/>
      <c r="H48" s="8"/>
      <c r="I48" s="8"/>
      <c r="J48" s="8"/>
      <c r="K48" s="8"/>
      <c r="L48" s="94"/>
      <c r="M48" s="8"/>
      <c r="N48" s="8"/>
      <c r="O48" s="8"/>
      <c r="P48" s="8"/>
      <c r="Q48" s="8"/>
      <c r="R48" s="8"/>
      <c r="S48" s="8"/>
      <c r="T48" s="8"/>
      <c r="U48" s="8"/>
      <c r="V48" s="8"/>
      <c r="W48" s="8"/>
      <c r="X48" s="8"/>
      <c r="Y48" s="8"/>
      <c r="Z48" s="8"/>
    </row>
    <row r="49" spans="1:26" ht="12.75" customHeight="1" x14ac:dyDescent="0.25">
      <c r="A49" s="133"/>
      <c r="B49" s="8"/>
      <c r="C49" s="8"/>
      <c r="D49" s="8"/>
      <c r="E49" s="8"/>
      <c r="F49" s="8"/>
      <c r="G49" s="8"/>
      <c r="H49" s="8"/>
      <c r="I49" s="8"/>
      <c r="J49" s="8"/>
      <c r="K49" s="8"/>
      <c r="L49" s="94"/>
      <c r="M49" s="8"/>
      <c r="N49" s="8"/>
      <c r="O49" s="8"/>
      <c r="P49" s="8"/>
      <c r="Q49" s="8"/>
      <c r="R49" s="8"/>
      <c r="S49" s="8"/>
      <c r="T49" s="8"/>
      <c r="U49" s="8"/>
      <c r="V49" s="8"/>
      <c r="W49" s="8"/>
      <c r="X49" s="8"/>
      <c r="Y49" s="8"/>
      <c r="Z49" s="8"/>
    </row>
    <row r="50" spans="1:26" ht="12.75" customHeight="1" x14ac:dyDescent="0.25">
      <c r="A50" s="133"/>
      <c r="B50" s="8"/>
      <c r="C50" s="8"/>
      <c r="D50" s="8"/>
      <c r="E50" s="8"/>
      <c r="F50" s="8"/>
      <c r="G50" s="8"/>
      <c r="H50" s="8"/>
      <c r="I50" s="8"/>
      <c r="J50" s="8"/>
      <c r="K50" s="8"/>
      <c r="L50" s="94"/>
      <c r="M50" s="8"/>
      <c r="N50" s="8"/>
      <c r="O50" s="8"/>
      <c r="P50" s="8"/>
      <c r="Q50" s="8"/>
      <c r="R50" s="8"/>
      <c r="S50" s="8"/>
      <c r="T50" s="8"/>
      <c r="U50" s="8"/>
      <c r="V50" s="8"/>
      <c r="W50" s="8"/>
      <c r="X50" s="8"/>
      <c r="Y50" s="8"/>
      <c r="Z50" s="8"/>
    </row>
    <row r="51" spans="1:26" ht="12.75" customHeight="1" x14ac:dyDescent="0.25">
      <c r="A51" s="133"/>
      <c r="B51" s="8"/>
      <c r="C51" s="8"/>
      <c r="D51" s="8"/>
      <c r="E51" s="8"/>
      <c r="F51" s="8"/>
      <c r="G51" s="8"/>
      <c r="H51" s="8"/>
      <c r="I51" s="8"/>
      <c r="J51" s="8"/>
      <c r="K51" s="8"/>
      <c r="L51" s="94"/>
      <c r="M51" s="8"/>
      <c r="N51" s="8"/>
      <c r="O51" s="8"/>
      <c r="P51" s="8"/>
      <c r="Q51" s="8"/>
      <c r="R51" s="8"/>
      <c r="S51" s="8"/>
      <c r="T51" s="8"/>
      <c r="U51" s="8"/>
      <c r="V51" s="8"/>
      <c r="W51" s="8"/>
      <c r="X51" s="8"/>
      <c r="Y51" s="8"/>
      <c r="Z51" s="8"/>
    </row>
    <row r="52" spans="1:26" ht="12.75" customHeight="1" x14ac:dyDescent="0.25">
      <c r="A52" s="133"/>
      <c r="B52" s="8"/>
      <c r="C52" s="8"/>
      <c r="D52" s="8"/>
      <c r="E52" s="8"/>
      <c r="F52" s="8"/>
      <c r="G52" s="8"/>
      <c r="H52" s="8"/>
      <c r="I52" s="8"/>
      <c r="J52" s="8"/>
      <c r="K52" s="8"/>
      <c r="L52" s="94"/>
      <c r="M52" s="8"/>
      <c r="N52" s="8"/>
      <c r="O52" s="8"/>
      <c r="P52" s="8"/>
      <c r="Q52" s="8"/>
      <c r="R52" s="8"/>
      <c r="S52" s="8"/>
      <c r="T52" s="8"/>
      <c r="U52" s="8"/>
      <c r="V52" s="8"/>
      <c r="W52" s="8"/>
      <c r="X52" s="8"/>
      <c r="Y52" s="8"/>
      <c r="Z52" s="8"/>
    </row>
    <row r="53" spans="1:26" ht="12.75" customHeight="1" x14ac:dyDescent="0.25">
      <c r="A53" s="133"/>
      <c r="B53" s="8"/>
      <c r="C53" s="8"/>
      <c r="D53" s="8"/>
      <c r="E53" s="8"/>
      <c r="F53" s="8"/>
      <c r="G53" s="8"/>
      <c r="H53" s="8"/>
      <c r="I53" s="8"/>
      <c r="J53" s="8"/>
      <c r="K53" s="8"/>
      <c r="L53" s="94"/>
      <c r="M53" s="8"/>
      <c r="N53" s="8"/>
      <c r="O53" s="8"/>
      <c r="P53" s="8"/>
      <c r="Q53" s="8"/>
      <c r="R53" s="8"/>
      <c r="S53" s="8"/>
      <c r="T53" s="8"/>
      <c r="U53" s="8"/>
      <c r="V53" s="8"/>
      <c r="W53" s="8"/>
      <c r="X53" s="8"/>
      <c r="Y53" s="8"/>
      <c r="Z53" s="8"/>
    </row>
    <row r="54" spans="1:26" ht="12.75" customHeight="1" x14ac:dyDescent="0.25">
      <c r="A54" s="133"/>
      <c r="B54" s="8"/>
      <c r="C54" s="8"/>
      <c r="D54" s="8"/>
      <c r="E54" s="8"/>
      <c r="F54" s="8"/>
      <c r="G54" s="8"/>
      <c r="H54" s="8"/>
      <c r="I54" s="8"/>
      <c r="J54" s="8"/>
      <c r="K54" s="8"/>
      <c r="L54" s="94"/>
      <c r="M54" s="8"/>
      <c r="N54" s="8"/>
      <c r="O54" s="8"/>
      <c r="P54" s="8"/>
      <c r="Q54" s="8"/>
      <c r="R54" s="8"/>
      <c r="S54" s="8"/>
      <c r="T54" s="8"/>
      <c r="U54" s="8"/>
      <c r="V54" s="8"/>
      <c r="W54" s="8"/>
      <c r="X54" s="8"/>
      <c r="Y54" s="8"/>
      <c r="Z54" s="8"/>
    </row>
    <row r="55" spans="1:26" ht="12.75" customHeight="1" x14ac:dyDescent="0.25">
      <c r="A55" s="133"/>
      <c r="B55" s="8"/>
      <c r="C55" s="8"/>
      <c r="D55" s="8"/>
      <c r="E55" s="8"/>
      <c r="F55" s="8"/>
      <c r="G55" s="8"/>
      <c r="H55" s="8"/>
      <c r="I55" s="8"/>
      <c r="J55" s="8"/>
      <c r="K55" s="8"/>
      <c r="L55" s="94"/>
      <c r="M55" s="8"/>
      <c r="N55" s="8"/>
      <c r="O55" s="8"/>
      <c r="P55" s="8"/>
      <c r="Q55" s="8"/>
      <c r="R55" s="8"/>
      <c r="S55" s="8"/>
      <c r="T55" s="8"/>
      <c r="U55" s="8"/>
      <c r="V55" s="8"/>
      <c r="W55" s="8"/>
      <c r="X55" s="8"/>
      <c r="Y55" s="8"/>
      <c r="Z55" s="8"/>
    </row>
    <row r="56" spans="1:26" ht="12.75" customHeight="1" x14ac:dyDescent="0.25">
      <c r="A56" s="133"/>
      <c r="B56" s="8"/>
      <c r="C56" s="8"/>
      <c r="D56" s="8"/>
      <c r="E56" s="8"/>
      <c r="F56" s="8"/>
      <c r="G56" s="8"/>
      <c r="H56" s="8"/>
      <c r="I56" s="8"/>
      <c r="J56" s="8"/>
      <c r="K56" s="8"/>
      <c r="L56" s="94"/>
      <c r="M56" s="8"/>
      <c r="N56" s="8"/>
      <c r="O56" s="8"/>
      <c r="P56" s="8"/>
      <c r="Q56" s="8"/>
      <c r="R56" s="8"/>
      <c r="S56" s="8"/>
      <c r="T56" s="8"/>
      <c r="U56" s="8"/>
      <c r="V56" s="8"/>
      <c r="W56" s="8"/>
      <c r="X56" s="8"/>
      <c r="Y56" s="8"/>
      <c r="Z56" s="8"/>
    </row>
    <row r="57" spans="1:26" ht="12.75" customHeight="1" x14ac:dyDescent="0.25">
      <c r="A57" s="133"/>
      <c r="B57" s="8"/>
      <c r="C57" s="8"/>
      <c r="D57" s="8"/>
      <c r="E57" s="8"/>
      <c r="F57" s="8"/>
      <c r="G57" s="8"/>
      <c r="H57" s="8"/>
      <c r="I57" s="8"/>
      <c r="J57" s="8"/>
      <c r="K57" s="8"/>
      <c r="L57" s="94"/>
      <c r="M57" s="8"/>
      <c r="N57" s="8"/>
      <c r="O57" s="8"/>
      <c r="P57" s="8"/>
      <c r="Q57" s="8"/>
      <c r="R57" s="8"/>
      <c r="S57" s="8"/>
      <c r="T57" s="8"/>
      <c r="U57" s="8"/>
      <c r="V57" s="8"/>
      <c r="W57" s="8"/>
      <c r="X57" s="8"/>
      <c r="Y57" s="8"/>
      <c r="Z57" s="8"/>
    </row>
    <row r="58" spans="1:26" ht="12.75" customHeight="1" x14ac:dyDescent="0.25">
      <c r="A58" s="133"/>
      <c r="B58" s="8"/>
      <c r="C58" s="8"/>
      <c r="D58" s="8"/>
      <c r="E58" s="8"/>
      <c r="F58" s="8"/>
      <c r="G58" s="8"/>
      <c r="H58" s="8"/>
      <c r="I58" s="8"/>
      <c r="J58" s="8"/>
      <c r="K58" s="8"/>
      <c r="L58" s="94"/>
      <c r="M58" s="8"/>
      <c r="N58" s="8"/>
      <c r="O58" s="8"/>
      <c r="P58" s="8"/>
      <c r="Q58" s="8"/>
      <c r="R58" s="8"/>
      <c r="S58" s="8"/>
      <c r="T58" s="8"/>
      <c r="U58" s="8"/>
      <c r="V58" s="8"/>
      <c r="W58" s="8"/>
      <c r="X58" s="8"/>
      <c r="Y58" s="8"/>
      <c r="Z58" s="8"/>
    </row>
    <row r="59" spans="1:26" ht="12.75" customHeight="1" x14ac:dyDescent="0.25">
      <c r="A59" s="133"/>
      <c r="B59" s="8"/>
      <c r="C59" s="8"/>
      <c r="D59" s="8"/>
      <c r="E59" s="8"/>
      <c r="F59" s="8"/>
      <c r="G59" s="8"/>
      <c r="H59" s="8"/>
      <c r="I59" s="8"/>
      <c r="J59" s="8"/>
      <c r="K59" s="8"/>
      <c r="L59" s="94"/>
      <c r="M59" s="8"/>
      <c r="N59" s="8"/>
      <c r="O59" s="8"/>
      <c r="P59" s="8"/>
      <c r="Q59" s="8"/>
      <c r="R59" s="8"/>
      <c r="S59" s="8"/>
      <c r="T59" s="8"/>
      <c r="U59" s="8"/>
      <c r="V59" s="8"/>
      <c r="W59" s="8"/>
      <c r="X59" s="8"/>
      <c r="Y59" s="8"/>
      <c r="Z59" s="8"/>
    </row>
    <row r="60" spans="1:26" ht="12.75" customHeight="1" x14ac:dyDescent="0.25">
      <c r="A60" s="133"/>
      <c r="B60" s="8"/>
      <c r="C60" s="8"/>
      <c r="D60" s="8"/>
      <c r="E60" s="8"/>
      <c r="F60" s="8"/>
      <c r="G60" s="8"/>
      <c r="H60" s="8"/>
      <c r="I60" s="8"/>
      <c r="J60" s="8"/>
      <c r="K60" s="8"/>
      <c r="L60" s="94"/>
      <c r="M60" s="8"/>
      <c r="N60" s="8"/>
      <c r="O60" s="8"/>
      <c r="P60" s="8"/>
      <c r="Q60" s="8"/>
      <c r="R60" s="8"/>
      <c r="S60" s="8"/>
      <c r="T60" s="8"/>
      <c r="U60" s="8"/>
      <c r="V60" s="8"/>
      <c r="W60" s="8"/>
      <c r="X60" s="8"/>
      <c r="Y60" s="8"/>
      <c r="Z60" s="8"/>
    </row>
    <row r="61" spans="1:26" ht="12.75" customHeight="1" x14ac:dyDescent="0.25">
      <c r="A61" s="133"/>
      <c r="B61" s="8"/>
      <c r="C61" s="8"/>
      <c r="D61" s="8"/>
      <c r="E61" s="8"/>
      <c r="F61" s="8"/>
      <c r="G61" s="8"/>
      <c r="H61" s="8"/>
      <c r="I61" s="8"/>
      <c r="J61" s="8"/>
      <c r="K61" s="8"/>
      <c r="L61" s="94"/>
      <c r="M61" s="8"/>
      <c r="N61" s="8"/>
      <c r="O61" s="8"/>
      <c r="P61" s="8"/>
      <c r="Q61" s="8"/>
      <c r="R61" s="8"/>
      <c r="S61" s="8"/>
      <c r="T61" s="8"/>
      <c r="U61" s="8"/>
      <c r="V61" s="8"/>
      <c r="W61" s="8"/>
      <c r="X61" s="8"/>
      <c r="Y61" s="8"/>
      <c r="Z61" s="8"/>
    </row>
    <row r="62" spans="1:26" ht="12.75" customHeight="1" x14ac:dyDescent="0.25">
      <c r="A62" s="133"/>
      <c r="B62" s="8"/>
      <c r="C62" s="8"/>
      <c r="D62" s="8"/>
      <c r="E62" s="8"/>
      <c r="F62" s="8"/>
      <c r="G62" s="8"/>
      <c r="H62" s="8"/>
      <c r="I62" s="8"/>
      <c r="J62" s="8"/>
      <c r="K62" s="8"/>
      <c r="L62" s="94"/>
      <c r="M62" s="8"/>
      <c r="N62" s="8"/>
      <c r="O62" s="8"/>
      <c r="P62" s="8"/>
      <c r="Q62" s="8"/>
      <c r="R62" s="8"/>
      <c r="S62" s="8"/>
      <c r="T62" s="8"/>
      <c r="U62" s="8"/>
      <c r="V62" s="8"/>
      <c r="W62" s="8"/>
      <c r="X62" s="8"/>
      <c r="Y62" s="8"/>
      <c r="Z62" s="8"/>
    </row>
    <row r="63" spans="1:26" ht="12.75" customHeight="1" x14ac:dyDescent="0.25">
      <c r="A63" s="133"/>
      <c r="B63" s="8"/>
      <c r="C63" s="8"/>
      <c r="D63" s="8"/>
      <c r="E63" s="8"/>
      <c r="F63" s="8"/>
      <c r="G63" s="8"/>
      <c r="H63" s="8"/>
      <c r="I63" s="8"/>
      <c r="J63" s="8"/>
      <c r="K63" s="8"/>
      <c r="L63" s="94"/>
      <c r="M63" s="8"/>
      <c r="N63" s="8"/>
      <c r="O63" s="8"/>
      <c r="P63" s="8"/>
      <c r="Q63" s="8"/>
      <c r="R63" s="8"/>
      <c r="S63" s="8"/>
      <c r="T63" s="8"/>
      <c r="U63" s="8"/>
      <c r="V63" s="8"/>
      <c r="W63" s="8"/>
      <c r="X63" s="8"/>
      <c r="Y63" s="8"/>
      <c r="Z63" s="8"/>
    </row>
    <row r="64" spans="1:26" ht="12.75" customHeight="1" x14ac:dyDescent="0.25">
      <c r="A64" s="133"/>
      <c r="B64" s="8"/>
      <c r="C64" s="8"/>
      <c r="D64" s="8"/>
      <c r="E64" s="8"/>
      <c r="F64" s="8"/>
      <c r="G64" s="8"/>
      <c r="H64" s="8"/>
      <c r="I64" s="8"/>
      <c r="J64" s="8"/>
      <c r="K64" s="8"/>
      <c r="L64" s="94"/>
      <c r="M64" s="8"/>
      <c r="N64" s="8"/>
      <c r="O64" s="8"/>
      <c r="P64" s="8"/>
      <c r="Q64" s="8"/>
      <c r="R64" s="8"/>
      <c r="S64" s="8"/>
      <c r="T64" s="8"/>
      <c r="U64" s="8"/>
      <c r="V64" s="8"/>
      <c r="W64" s="8"/>
      <c r="X64" s="8"/>
      <c r="Y64" s="8"/>
      <c r="Z64" s="8"/>
    </row>
    <row r="65" spans="1:26" ht="12.75" customHeight="1" x14ac:dyDescent="0.25">
      <c r="A65" s="133"/>
      <c r="B65" s="8"/>
      <c r="C65" s="8"/>
      <c r="D65" s="8"/>
      <c r="E65" s="8"/>
      <c r="F65" s="8"/>
      <c r="G65" s="8"/>
      <c r="H65" s="8"/>
      <c r="I65" s="8"/>
      <c r="J65" s="8"/>
      <c r="K65" s="8"/>
      <c r="L65" s="94"/>
      <c r="M65" s="8"/>
      <c r="N65" s="8"/>
      <c r="O65" s="8"/>
      <c r="P65" s="8"/>
      <c r="Q65" s="8"/>
      <c r="R65" s="8"/>
      <c r="S65" s="8"/>
      <c r="T65" s="8"/>
      <c r="U65" s="8"/>
      <c r="V65" s="8"/>
      <c r="W65" s="8"/>
      <c r="X65" s="8"/>
      <c r="Y65" s="8"/>
      <c r="Z65" s="8"/>
    </row>
    <row r="66" spans="1:26" ht="12.75" customHeight="1" x14ac:dyDescent="0.25">
      <c r="A66" s="133"/>
      <c r="B66" s="8"/>
      <c r="C66" s="8"/>
      <c r="D66" s="8"/>
      <c r="E66" s="8"/>
      <c r="F66" s="8"/>
      <c r="G66" s="8"/>
      <c r="H66" s="8"/>
      <c r="I66" s="8"/>
      <c r="J66" s="8"/>
      <c r="K66" s="8"/>
      <c r="L66" s="94"/>
      <c r="M66" s="8"/>
      <c r="N66" s="8"/>
      <c r="O66" s="8"/>
      <c r="P66" s="8"/>
      <c r="Q66" s="8"/>
      <c r="R66" s="8"/>
      <c r="S66" s="8"/>
      <c r="T66" s="8"/>
      <c r="U66" s="8"/>
      <c r="V66" s="8"/>
      <c r="W66" s="8"/>
      <c r="X66" s="8"/>
      <c r="Y66" s="8"/>
      <c r="Z66" s="8"/>
    </row>
    <row r="67" spans="1:26" ht="12.75" customHeight="1" x14ac:dyDescent="0.25">
      <c r="A67" s="133"/>
      <c r="B67" s="8"/>
      <c r="C67" s="8"/>
      <c r="D67" s="8"/>
      <c r="E67" s="8"/>
      <c r="F67" s="8"/>
      <c r="G67" s="8"/>
      <c r="H67" s="8"/>
      <c r="I67" s="8"/>
      <c r="J67" s="8"/>
      <c r="K67" s="8"/>
      <c r="L67" s="94"/>
      <c r="M67" s="8"/>
      <c r="N67" s="8"/>
      <c r="O67" s="8"/>
      <c r="P67" s="8"/>
      <c r="Q67" s="8"/>
      <c r="R67" s="8"/>
      <c r="S67" s="8"/>
      <c r="T67" s="8"/>
      <c r="U67" s="8"/>
      <c r="V67" s="8"/>
      <c r="W67" s="8"/>
      <c r="X67" s="8"/>
      <c r="Y67" s="8"/>
      <c r="Z67" s="8"/>
    </row>
    <row r="68" spans="1:26" ht="12.75" customHeight="1" x14ac:dyDescent="0.25">
      <c r="A68" s="133"/>
      <c r="B68" s="8"/>
      <c r="C68" s="8"/>
      <c r="D68" s="8"/>
      <c r="E68" s="8"/>
      <c r="F68" s="8"/>
      <c r="G68" s="8"/>
      <c r="H68" s="8"/>
      <c r="I68" s="8"/>
      <c r="J68" s="8"/>
      <c r="K68" s="8"/>
      <c r="L68" s="94"/>
      <c r="M68" s="8"/>
      <c r="N68" s="8"/>
      <c r="O68" s="8"/>
      <c r="P68" s="8"/>
      <c r="Q68" s="8"/>
      <c r="R68" s="8"/>
      <c r="S68" s="8"/>
      <c r="T68" s="8"/>
      <c r="U68" s="8"/>
      <c r="V68" s="8"/>
      <c r="W68" s="8"/>
      <c r="X68" s="8"/>
      <c r="Y68" s="8"/>
      <c r="Z68" s="8"/>
    </row>
    <row r="69" spans="1:26" ht="12.75" customHeight="1" x14ac:dyDescent="0.25">
      <c r="A69" s="133"/>
      <c r="B69" s="8"/>
      <c r="C69" s="8"/>
      <c r="D69" s="8"/>
      <c r="E69" s="8"/>
      <c r="F69" s="8"/>
      <c r="G69" s="8"/>
      <c r="H69" s="8"/>
      <c r="I69" s="8"/>
      <c r="J69" s="8"/>
      <c r="K69" s="8"/>
      <c r="L69" s="94"/>
      <c r="M69" s="8"/>
      <c r="N69" s="8"/>
      <c r="O69" s="8"/>
      <c r="P69" s="8"/>
      <c r="Q69" s="8"/>
      <c r="R69" s="8"/>
      <c r="S69" s="8"/>
      <c r="T69" s="8"/>
      <c r="U69" s="8"/>
      <c r="V69" s="8"/>
      <c r="W69" s="8"/>
      <c r="X69" s="8"/>
      <c r="Y69" s="8"/>
      <c r="Z69" s="8"/>
    </row>
    <row r="70" spans="1:26" ht="12.75" customHeight="1" x14ac:dyDescent="0.25">
      <c r="A70" s="133"/>
      <c r="B70" s="8"/>
      <c r="C70" s="8"/>
      <c r="D70" s="8"/>
      <c r="E70" s="8"/>
      <c r="F70" s="8"/>
      <c r="G70" s="8"/>
      <c r="H70" s="8"/>
      <c r="I70" s="8"/>
      <c r="J70" s="8"/>
      <c r="K70" s="8"/>
      <c r="L70" s="94"/>
      <c r="M70" s="8"/>
      <c r="N70" s="8"/>
      <c r="O70" s="8"/>
      <c r="P70" s="8"/>
      <c r="Q70" s="8"/>
      <c r="R70" s="8"/>
      <c r="S70" s="8"/>
      <c r="T70" s="8"/>
      <c r="U70" s="8"/>
      <c r="V70" s="8"/>
      <c r="W70" s="8"/>
      <c r="X70" s="8"/>
      <c r="Y70" s="8"/>
      <c r="Z70" s="8"/>
    </row>
    <row r="71" spans="1:26" ht="12.75" customHeight="1" x14ac:dyDescent="0.25">
      <c r="A71" s="133"/>
      <c r="B71" s="8"/>
      <c r="C71" s="8"/>
      <c r="D71" s="8"/>
      <c r="E71" s="8"/>
      <c r="F71" s="8"/>
      <c r="G71" s="8"/>
      <c r="H71" s="8"/>
      <c r="I71" s="8"/>
      <c r="J71" s="8"/>
      <c r="K71" s="8"/>
      <c r="L71" s="94"/>
      <c r="M71" s="8"/>
      <c r="N71" s="8"/>
      <c r="O71" s="8"/>
      <c r="P71" s="8"/>
      <c r="Q71" s="8"/>
      <c r="R71" s="8"/>
      <c r="S71" s="8"/>
      <c r="T71" s="8"/>
      <c r="U71" s="8"/>
      <c r="V71" s="8"/>
      <c r="W71" s="8"/>
      <c r="X71" s="8"/>
      <c r="Y71" s="8"/>
      <c r="Z71" s="8"/>
    </row>
    <row r="72" spans="1:26" ht="12.75" customHeight="1" x14ac:dyDescent="0.25">
      <c r="A72" s="133"/>
      <c r="B72" s="8"/>
      <c r="C72" s="8"/>
      <c r="D72" s="8"/>
      <c r="E72" s="8"/>
      <c r="F72" s="8"/>
      <c r="G72" s="8"/>
      <c r="H72" s="8"/>
      <c r="I72" s="8"/>
      <c r="J72" s="8"/>
      <c r="K72" s="8"/>
      <c r="L72" s="94"/>
      <c r="M72" s="8"/>
      <c r="N72" s="8"/>
      <c r="O72" s="8"/>
      <c r="P72" s="8"/>
      <c r="Q72" s="8"/>
      <c r="R72" s="8"/>
      <c r="S72" s="8"/>
      <c r="T72" s="8"/>
      <c r="U72" s="8"/>
      <c r="V72" s="8"/>
      <c r="W72" s="8"/>
      <c r="X72" s="8"/>
      <c r="Y72" s="8"/>
      <c r="Z72" s="8"/>
    </row>
    <row r="73" spans="1:26" ht="12.75" customHeight="1" x14ac:dyDescent="0.25">
      <c r="A73" s="133"/>
      <c r="B73" s="8"/>
      <c r="C73" s="8"/>
      <c r="D73" s="8"/>
      <c r="E73" s="8"/>
      <c r="F73" s="8"/>
      <c r="G73" s="8"/>
      <c r="H73" s="8"/>
      <c r="I73" s="8"/>
      <c r="J73" s="8"/>
      <c r="K73" s="8"/>
      <c r="L73" s="94"/>
      <c r="M73" s="8"/>
      <c r="N73" s="8"/>
      <c r="O73" s="8"/>
      <c r="P73" s="8"/>
      <c r="Q73" s="8"/>
      <c r="R73" s="8"/>
      <c r="S73" s="8"/>
      <c r="T73" s="8"/>
      <c r="U73" s="8"/>
      <c r="V73" s="8"/>
      <c r="W73" s="8"/>
      <c r="X73" s="8"/>
      <c r="Y73" s="8"/>
      <c r="Z73" s="8"/>
    </row>
    <row r="74" spans="1:26" ht="12.75" customHeight="1" x14ac:dyDescent="0.25">
      <c r="A74" s="133"/>
      <c r="B74" s="8"/>
      <c r="C74" s="8"/>
      <c r="D74" s="8"/>
      <c r="E74" s="8"/>
      <c r="F74" s="8"/>
      <c r="G74" s="8"/>
      <c r="H74" s="8"/>
      <c r="I74" s="8"/>
      <c r="J74" s="8"/>
      <c r="K74" s="8"/>
      <c r="L74" s="94"/>
      <c r="M74" s="8"/>
      <c r="N74" s="8"/>
      <c r="O74" s="8"/>
      <c r="P74" s="8"/>
      <c r="Q74" s="8"/>
      <c r="R74" s="8"/>
      <c r="S74" s="8"/>
      <c r="T74" s="8"/>
      <c r="U74" s="8"/>
      <c r="V74" s="8"/>
      <c r="W74" s="8"/>
      <c r="X74" s="8"/>
      <c r="Y74" s="8"/>
      <c r="Z74" s="8"/>
    </row>
    <row r="75" spans="1:26" ht="12.75" customHeight="1" x14ac:dyDescent="0.25">
      <c r="A75" s="133"/>
      <c r="B75" s="8"/>
      <c r="C75" s="8"/>
      <c r="D75" s="8"/>
      <c r="E75" s="8"/>
      <c r="F75" s="8"/>
      <c r="G75" s="8"/>
      <c r="H75" s="8"/>
      <c r="I75" s="8"/>
      <c r="J75" s="8"/>
      <c r="K75" s="8"/>
      <c r="L75" s="94"/>
      <c r="M75" s="8"/>
      <c r="N75" s="8"/>
      <c r="O75" s="8"/>
      <c r="P75" s="8"/>
      <c r="Q75" s="8"/>
      <c r="R75" s="8"/>
      <c r="S75" s="8"/>
      <c r="T75" s="8"/>
      <c r="U75" s="8"/>
      <c r="V75" s="8"/>
      <c r="W75" s="8"/>
      <c r="X75" s="8"/>
      <c r="Y75" s="8"/>
      <c r="Z75" s="8"/>
    </row>
    <row r="76" spans="1:26" ht="12.75" customHeight="1" x14ac:dyDescent="0.25">
      <c r="A76" s="133"/>
      <c r="B76" s="8"/>
      <c r="C76" s="8"/>
      <c r="D76" s="8"/>
      <c r="E76" s="8"/>
      <c r="F76" s="8"/>
      <c r="G76" s="8"/>
      <c r="H76" s="8"/>
      <c r="I76" s="8"/>
      <c r="J76" s="8"/>
      <c r="K76" s="8"/>
      <c r="L76" s="94"/>
      <c r="M76" s="8"/>
      <c r="N76" s="8"/>
      <c r="O76" s="8"/>
      <c r="P76" s="8"/>
      <c r="Q76" s="8"/>
      <c r="R76" s="8"/>
      <c r="S76" s="8"/>
      <c r="T76" s="8"/>
      <c r="U76" s="8"/>
      <c r="V76" s="8"/>
      <c r="W76" s="8"/>
      <c r="X76" s="8"/>
      <c r="Y76" s="8"/>
      <c r="Z76" s="8"/>
    </row>
    <row r="77" spans="1:26" ht="12.75" customHeight="1" x14ac:dyDescent="0.25">
      <c r="A77" s="133"/>
      <c r="B77" s="8"/>
      <c r="C77" s="8"/>
      <c r="D77" s="8"/>
      <c r="E77" s="8"/>
      <c r="F77" s="8"/>
      <c r="G77" s="8"/>
      <c r="H77" s="8"/>
      <c r="I77" s="8"/>
      <c r="J77" s="8"/>
      <c r="K77" s="8"/>
      <c r="L77" s="94"/>
      <c r="M77" s="8"/>
      <c r="N77" s="8"/>
      <c r="O77" s="8"/>
      <c r="P77" s="8"/>
      <c r="Q77" s="8"/>
      <c r="R77" s="8"/>
      <c r="S77" s="8"/>
      <c r="T77" s="8"/>
      <c r="U77" s="8"/>
      <c r="V77" s="8"/>
      <c r="W77" s="8"/>
      <c r="X77" s="8"/>
      <c r="Y77" s="8"/>
      <c r="Z77" s="8"/>
    </row>
    <row r="78" spans="1:26" ht="12.75" customHeight="1" x14ac:dyDescent="0.25">
      <c r="A78" s="133"/>
      <c r="B78" s="8"/>
      <c r="C78" s="8"/>
      <c r="D78" s="8"/>
      <c r="E78" s="8"/>
      <c r="F78" s="8"/>
      <c r="G78" s="8"/>
      <c r="H78" s="8"/>
      <c r="I78" s="8"/>
      <c r="J78" s="8"/>
      <c r="K78" s="8"/>
      <c r="L78" s="94"/>
      <c r="M78" s="8"/>
      <c r="N78" s="8"/>
      <c r="O78" s="8"/>
      <c r="P78" s="8"/>
      <c r="Q78" s="8"/>
      <c r="R78" s="8"/>
      <c r="S78" s="8"/>
      <c r="T78" s="8"/>
      <c r="U78" s="8"/>
      <c r="V78" s="8"/>
      <c r="W78" s="8"/>
      <c r="X78" s="8"/>
      <c r="Y78" s="8"/>
      <c r="Z78" s="8"/>
    </row>
    <row r="79" spans="1:26" ht="12.75" customHeight="1" x14ac:dyDescent="0.25">
      <c r="A79" s="133"/>
      <c r="B79" s="8"/>
      <c r="C79" s="8"/>
      <c r="D79" s="8"/>
      <c r="E79" s="8"/>
      <c r="F79" s="8"/>
      <c r="G79" s="8"/>
      <c r="H79" s="8"/>
      <c r="I79" s="8"/>
      <c r="J79" s="8"/>
      <c r="K79" s="8"/>
      <c r="L79" s="94"/>
      <c r="M79" s="8"/>
      <c r="N79" s="8"/>
      <c r="O79" s="8"/>
      <c r="P79" s="8"/>
      <c r="Q79" s="8"/>
      <c r="R79" s="8"/>
      <c r="S79" s="8"/>
      <c r="T79" s="8"/>
      <c r="U79" s="8"/>
      <c r="V79" s="8"/>
      <c r="W79" s="8"/>
      <c r="X79" s="8"/>
      <c r="Y79" s="8"/>
      <c r="Z79" s="8"/>
    </row>
    <row r="80" spans="1:26" ht="12.75" customHeight="1" x14ac:dyDescent="0.25">
      <c r="A80" s="133"/>
      <c r="B80" s="8"/>
      <c r="C80" s="8"/>
      <c r="D80" s="8"/>
      <c r="E80" s="8"/>
      <c r="F80" s="8"/>
      <c r="G80" s="8"/>
      <c r="H80" s="8"/>
      <c r="I80" s="8"/>
      <c r="J80" s="8"/>
      <c r="K80" s="8"/>
      <c r="L80" s="94"/>
      <c r="M80" s="8"/>
      <c r="N80" s="8"/>
      <c r="O80" s="8"/>
      <c r="P80" s="8"/>
      <c r="Q80" s="8"/>
      <c r="R80" s="8"/>
      <c r="S80" s="8"/>
      <c r="T80" s="8"/>
      <c r="U80" s="8"/>
      <c r="V80" s="8"/>
      <c r="W80" s="8"/>
      <c r="X80" s="8"/>
      <c r="Y80" s="8"/>
      <c r="Z80" s="8"/>
    </row>
    <row r="81" spans="1:26" ht="12.75" customHeight="1" x14ac:dyDescent="0.25">
      <c r="A81" s="133"/>
      <c r="B81" s="8"/>
      <c r="C81" s="8"/>
      <c r="D81" s="8"/>
      <c r="E81" s="8"/>
      <c r="F81" s="8"/>
      <c r="G81" s="8"/>
      <c r="H81" s="8"/>
      <c r="I81" s="8"/>
      <c r="J81" s="8"/>
      <c r="K81" s="8"/>
      <c r="L81" s="94"/>
      <c r="M81" s="8"/>
      <c r="N81" s="8"/>
      <c r="O81" s="8"/>
      <c r="P81" s="8"/>
      <c r="Q81" s="8"/>
      <c r="R81" s="8"/>
      <c r="S81" s="8"/>
      <c r="T81" s="8"/>
      <c r="U81" s="8"/>
      <c r="V81" s="8"/>
      <c r="W81" s="8"/>
      <c r="X81" s="8"/>
      <c r="Y81" s="8"/>
      <c r="Z81" s="8"/>
    </row>
    <row r="82" spans="1:26" ht="12.75" customHeight="1" x14ac:dyDescent="0.25">
      <c r="A82" s="133"/>
      <c r="B82" s="8"/>
      <c r="C82" s="8"/>
      <c r="D82" s="8"/>
      <c r="E82" s="8"/>
      <c r="F82" s="8"/>
      <c r="G82" s="8"/>
      <c r="H82" s="8"/>
      <c r="I82" s="8"/>
      <c r="J82" s="8"/>
      <c r="K82" s="8"/>
      <c r="L82" s="94"/>
      <c r="M82" s="8"/>
      <c r="N82" s="8"/>
      <c r="O82" s="8"/>
      <c r="P82" s="8"/>
      <c r="Q82" s="8"/>
      <c r="R82" s="8"/>
      <c r="S82" s="8"/>
      <c r="T82" s="8"/>
      <c r="U82" s="8"/>
      <c r="V82" s="8"/>
      <c r="W82" s="8"/>
      <c r="X82" s="8"/>
      <c r="Y82" s="8"/>
      <c r="Z82" s="8"/>
    </row>
    <row r="83" spans="1:26" ht="12.75" customHeight="1" x14ac:dyDescent="0.25">
      <c r="A83" s="133"/>
      <c r="B83" s="8"/>
      <c r="C83" s="8"/>
      <c r="D83" s="8"/>
      <c r="E83" s="8"/>
      <c r="F83" s="8"/>
      <c r="G83" s="8"/>
      <c r="H83" s="8"/>
      <c r="I83" s="8"/>
      <c r="J83" s="8"/>
      <c r="K83" s="8"/>
      <c r="L83" s="94"/>
      <c r="M83" s="8"/>
      <c r="N83" s="8"/>
      <c r="O83" s="8"/>
      <c r="P83" s="8"/>
      <c r="Q83" s="8"/>
      <c r="R83" s="8"/>
      <c r="S83" s="8"/>
      <c r="T83" s="8"/>
      <c r="U83" s="8"/>
      <c r="V83" s="8"/>
      <c r="W83" s="8"/>
      <c r="X83" s="8"/>
      <c r="Y83" s="8"/>
      <c r="Z83" s="8"/>
    </row>
    <row r="84" spans="1:26" ht="12.75" customHeight="1" x14ac:dyDescent="0.25">
      <c r="A84" s="133"/>
      <c r="B84" s="8"/>
      <c r="C84" s="8"/>
      <c r="D84" s="8"/>
      <c r="E84" s="8"/>
      <c r="F84" s="8"/>
      <c r="G84" s="8"/>
      <c r="H84" s="8"/>
      <c r="I84" s="8"/>
      <c r="J84" s="8"/>
      <c r="K84" s="8"/>
      <c r="L84" s="94"/>
      <c r="M84" s="8"/>
      <c r="N84" s="8"/>
      <c r="O84" s="8"/>
      <c r="P84" s="8"/>
      <c r="Q84" s="8"/>
      <c r="R84" s="8"/>
      <c r="S84" s="8"/>
      <c r="T84" s="8"/>
      <c r="U84" s="8"/>
      <c r="V84" s="8"/>
      <c r="W84" s="8"/>
      <c r="X84" s="8"/>
      <c r="Y84" s="8"/>
      <c r="Z84" s="8"/>
    </row>
    <row r="85" spans="1:26" ht="12.75" customHeight="1" x14ac:dyDescent="0.25">
      <c r="A85" s="133"/>
      <c r="B85" s="8"/>
      <c r="C85" s="8"/>
      <c r="D85" s="8"/>
      <c r="E85" s="8"/>
      <c r="F85" s="8"/>
      <c r="G85" s="8"/>
      <c r="H85" s="8"/>
      <c r="I85" s="8"/>
      <c r="J85" s="8"/>
      <c r="K85" s="8"/>
      <c r="L85" s="94"/>
      <c r="M85" s="8"/>
      <c r="N85" s="8"/>
      <c r="O85" s="8"/>
      <c r="P85" s="8"/>
      <c r="Q85" s="8"/>
      <c r="R85" s="8"/>
      <c r="S85" s="8"/>
      <c r="T85" s="8"/>
      <c r="U85" s="8"/>
      <c r="V85" s="8"/>
      <c r="W85" s="8"/>
      <c r="X85" s="8"/>
      <c r="Y85" s="8"/>
      <c r="Z85" s="8"/>
    </row>
    <row r="86" spans="1:26" ht="12.75" customHeight="1" x14ac:dyDescent="0.25">
      <c r="A86" s="133"/>
      <c r="B86" s="8"/>
      <c r="C86" s="8"/>
      <c r="D86" s="8"/>
      <c r="E86" s="8"/>
      <c r="F86" s="8"/>
      <c r="G86" s="8"/>
      <c r="H86" s="8"/>
      <c r="I86" s="8"/>
      <c r="J86" s="8"/>
      <c r="K86" s="8"/>
      <c r="L86" s="94"/>
      <c r="M86" s="8"/>
      <c r="N86" s="8"/>
      <c r="O86" s="8"/>
      <c r="P86" s="8"/>
      <c r="Q86" s="8"/>
      <c r="R86" s="8"/>
      <c r="S86" s="8"/>
      <c r="T86" s="8"/>
      <c r="U86" s="8"/>
      <c r="V86" s="8"/>
      <c r="W86" s="8"/>
      <c r="X86" s="8"/>
      <c r="Y86" s="8"/>
      <c r="Z86" s="8"/>
    </row>
    <row r="87" spans="1:26" ht="12.75" customHeight="1" x14ac:dyDescent="0.25">
      <c r="A87" s="133"/>
      <c r="B87" s="8"/>
      <c r="C87" s="8"/>
      <c r="D87" s="8"/>
      <c r="E87" s="8"/>
      <c r="F87" s="8"/>
      <c r="G87" s="8"/>
      <c r="H87" s="8"/>
      <c r="I87" s="8"/>
      <c r="J87" s="8"/>
      <c r="K87" s="8"/>
      <c r="L87" s="94"/>
      <c r="M87" s="8"/>
      <c r="N87" s="8"/>
      <c r="O87" s="8"/>
      <c r="P87" s="8"/>
      <c r="Q87" s="8"/>
      <c r="R87" s="8"/>
      <c r="S87" s="8"/>
      <c r="T87" s="8"/>
      <c r="U87" s="8"/>
      <c r="V87" s="8"/>
      <c r="W87" s="8"/>
      <c r="X87" s="8"/>
      <c r="Y87" s="8"/>
      <c r="Z87" s="8"/>
    </row>
    <row r="88" spans="1:26" ht="12.75" customHeight="1" x14ac:dyDescent="0.25">
      <c r="A88" s="133"/>
      <c r="B88" s="8"/>
      <c r="C88" s="8"/>
      <c r="D88" s="8"/>
      <c r="E88" s="8"/>
      <c r="F88" s="8"/>
      <c r="G88" s="8"/>
      <c r="H88" s="8"/>
      <c r="I88" s="8"/>
      <c r="J88" s="8"/>
      <c r="K88" s="8"/>
      <c r="L88" s="94"/>
      <c r="M88" s="8"/>
      <c r="N88" s="8"/>
      <c r="O88" s="8"/>
      <c r="P88" s="8"/>
      <c r="Q88" s="8"/>
      <c r="R88" s="8"/>
      <c r="S88" s="8"/>
      <c r="T88" s="8"/>
      <c r="U88" s="8"/>
      <c r="V88" s="8"/>
      <c r="W88" s="8"/>
      <c r="X88" s="8"/>
      <c r="Y88" s="8"/>
      <c r="Z88" s="8"/>
    </row>
    <row r="89" spans="1:26" ht="12.75" customHeight="1" x14ac:dyDescent="0.25">
      <c r="A89" s="133"/>
      <c r="B89" s="8"/>
      <c r="C89" s="8"/>
      <c r="D89" s="8"/>
      <c r="E89" s="8"/>
      <c r="F89" s="8"/>
      <c r="G89" s="8"/>
      <c r="H89" s="8"/>
      <c r="I89" s="8"/>
      <c r="J89" s="8"/>
      <c r="K89" s="8"/>
      <c r="L89" s="94"/>
      <c r="M89" s="8"/>
      <c r="N89" s="8"/>
      <c r="O89" s="8"/>
      <c r="P89" s="8"/>
      <c r="Q89" s="8"/>
      <c r="R89" s="8"/>
      <c r="S89" s="8"/>
      <c r="T89" s="8"/>
      <c r="U89" s="8"/>
      <c r="V89" s="8"/>
      <c r="W89" s="8"/>
      <c r="X89" s="8"/>
      <c r="Y89" s="8"/>
      <c r="Z89" s="8"/>
    </row>
    <row r="90" spans="1:26" ht="12.75" customHeight="1" x14ac:dyDescent="0.25">
      <c r="A90" s="133"/>
      <c r="B90" s="8"/>
      <c r="C90" s="8"/>
      <c r="D90" s="8"/>
      <c r="E90" s="8"/>
      <c r="F90" s="8"/>
      <c r="G90" s="8"/>
      <c r="H90" s="8"/>
      <c r="I90" s="8"/>
      <c r="J90" s="8"/>
      <c r="K90" s="8"/>
      <c r="L90" s="94"/>
      <c r="M90" s="8"/>
      <c r="N90" s="8"/>
      <c r="O90" s="8"/>
      <c r="P90" s="8"/>
      <c r="Q90" s="8"/>
      <c r="R90" s="8"/>
      <c r="S90" s="8"/>
      <c r="T90" s="8"/>
      <c r="U90" s="8"/>
      <c r="V90" s="8"/>
      <c r="W90" s="8"/>
      <c r="X90" s="8"/>
      <c r="Y90" s="8"/>
      <c r="Z90" s="8"/>
    </row>
    <row r="91" spans="1:26" ht="12.75" customHeight="1" x14ac:dyDescent="0.25">
      <c r="A91" s="133"/>
      <c r="B91" s="8"/>
      <c r="C91" s="8"/>
      <c r="D91" s="8"/>
      <c r="E91" s="8"/>
      <c r="F91" s="8"/>
      <c r="G91" s="8"/>
      <c r="H91" s="8"/>
      <c r="I91" s="8"/>
      <c r="J91" s="8"/>
      <c r="K91" s="8"/>
      <c r="L91" s="94"/>
      <c r="M91" s="8"/>
      <c r="N91" s="8"/>
      <c r="O91" s="8"/>
      <c r="P91" s="8"/>
      <c r="Q91" s="8"/>
      <c r="R91" s="8"/>
      <c r="S91" s="8"/>
      <c r="T91" s="8"/>
      <c r="U91" s="8"/>
      <c r="V91" s="8"/>
      <c r="W91" s="8"/>
      <c r="X91" s="8"/>
      <c r="Y91" s="8"/>
      <c r="Z91" s="8"/>
    </row>
    <row r="92" spans="1:26" ht="12.75" customHeight="1" x14ac:dyDescent="0.25">
      <c r="A92" s="133"/>
      <c r="B92" s="8"/>
      <c r="C92" s="8"/>
      <c r="D92" s="8"/>
      <c r="E92" s="8"/>
      <c r="F92" s="8"/>
      <c r="G92" s="8"/>
      <c r="H92" s="8"/>
      <c r="I92" s="8"/>
      <c r="J92" s="8"/>
      <c r="K92" s="8"/>
      <c r="L92" s="94"/>
      <c r="M92" s="8"/>
      <c r="N92" s="8"/>
      <c r="O92" s="8"/>
      <c r="P92" s="8"/>
      <c r="Q92" s="8"/>
      <c r="R92" s="8"/>
      <c r="S92" s="8"/>
      <c r="T92" s="8"/>
      <c r="U92" s="8"/>
      <c r="V92" s="8"/>
      <c r="W92" s="8"/>
      <c r="X92" s="8"/>
      <c r="Y92" s="8"/>
      <c r="Z92" s="8"/>
    </row>
    <row r="93" spans="1:26" ht="12.75" customHeight="1" x14ac:dyDescent="0.25">
      <c r="A93" s="133"/>
      <c r="B93" s="8"/>
      <c r="C93" s="8"/>
      <c r="D93" s="8"/>
      <c r="E93" s="8"/>
      <c r="F93" s="8"/>
      <c r="G93" s="8"/>
      <c r="H93" s="8"/>
      <c r="I93" s="8"/>
      <c r="J93" s="8"/>
      <c r="K93" s="8"/>
      <c r="L93" s="94"/>
      <c r="M93" s="8"/>
      <c r="N93" s="8"/>
      <c r="O93" s="8"/>
      <c r="P93" s="8"/>
      <c r="Q93" s="8"/>
      <c r="R93" s="8"/>
      <c r="S93" s="8"/>
      <c r="T93" s="8"/>
      <c r="U93" s="8"/>
      <c r="V93" s="8"/>
      <c r="W93" s="8"/>
      <c r="X93" s="8"/>
      <c r="Y93" s="8"/>
      <c r="Z93" s="8"/>
    </row>
    <row r="94" spans="1:26" ht="12.75" customHeight="1" x14ac:dyDescent="0.25">
      <c r="A94" s="133"/>
      <c r="B94" s="8"/>
      <c r="C94" s="8"/>
      <c r="D94" s="8"/>
      <c r="E94" s="8"/>
      <c r="F94" s="8"/>
      <c r="G94" s="8"/>
      <c r="H94" s="8"/>
      <c r="I94" s="8"/>
      <c r="J94" s="8"/>
      <c r="K94" s="8"/>
      <c r="L94" s="94"/>
      <c r="M94" s="8"/>
      <c r="N94" s="8"/>
      <c r="O94" s="8"/>
      <c r="P94" s="8"/>
      <c r="Q94" s="8"/>
      <c r="R94" s="8"/>
      <c r="S94" s="8"/>
      <c r="T94" s="8"/>
      <c r="U94" s="8"/>
      <c r="V94" s="8"/>
      <c r="W94" s="8"/>
      <c r="X94" s="8"/>
      <c r="Y94" s="8"/>
      <c r="Z94" s="8"/>
    </row>
    <row r="95" spans="1:26" ht="12.75" customHeight="1" x14ac:dyDescent="0.25">
      <c r="A95" s="133"/>
      <c r="B95" s="8"/>
      <c r="C95" s="8"/>
      <c r="D95" s="8"/>
      <c r="E95" s="8"/>
      <c r="F95" s="8"/>
      <c r="G95" s="8"/>
      <c r="H95" s="8"/>
      <c r="I95" s="8"/>
      <c r="J95" s="8"/>
      <c r="K95" s="8"/>
      <c r="L95" s="94"/>
      <c r="M95" s="8"/>
      <c r="N95" s="8"/>
      <c r="O95" s="8"/>
      <c r="P95" s="8"/>
      <c r="Q95" s="8"/>
      <c r="R95" s="8"/>
      <c r="S95" s="8"/>
      <c r="T95" s="8"/>
      <c r="U95" s="8"/>
      <c r="V95" s="8"/>
      <c r="W95" s="8"/>
      <c r="X95" s="8"/>
      <c r="Y95" s="8"/>
      <c r="Z95" s="8"/>
    </row>
    <row r="96" spans="1:26" ht="12.75" customHeight="1" x14ac:dyDescent="0.25">
      <c r="A96" s="133"/>
      <c r="B96" s="8"/>
      <c r="C96" s="8"/>
      <c r="D96" s="8"/>
      <c r="E96" s="8"/>
      <c r="F96" s="8"/>
      <c r="G96" s="8"/>
      <c r="H96" s="8"/>
      <c r="I96" s="8"/>
      <c r="J96" s="8"/>
      <c r="K96" s="8"/>
      <c r="L96" s="94"/>
      <c r="M96" s="8"/>
      <c r="N96" s="8"/>
      <c r="O96" s="8"/>
      <c r="P96" s="8"/>
      <c r="Q96" s="8"/>
      <c r="R96" s="8"/>
      <c r="S96" s="8"/>
      <c r="T96" s="8"/>
      <c r="U96" s="8"/>
      <c r="V96" s="8"/>
      <c r="W96" s="8"/>
      <c r="X96" s="8"/>
      <c r="Y96" s="8"/>
      <c r="Z96" s="8"/>
    </row>
    <row r="97" spans="1:26" ht="12.75" customHeight="1" x14ac:dyDescent="0.25">
      <c r="A97" s="133"/>
      <c r="B97" s="8"/>
      <c r="C97" s="8"/>
      <c r="D97" s="8"/>
      <c r="E97" s="8"/>
      <c r="F97" s="8"/>
      <c r="G97" s="8"/>
      <c r="H97" s="8"/>
      <c r="I97" s="8"/>
      <c r="J97" s="8"/>
      <c r="K97" s="8"/>
      <c r="L97" s="94"/>
      <c r="M97" s="8"/>
      <c r="N97" s="8"/>
      <c r="O97" s="8"/>
      <c r="P97" s="8"/>
      <c r="Q97" s="8"/>
      <c r="R97" s="8"/>
      <c r="S97" s="8"/>
      <c r="T97" s="8"/>
      <c r="U97" s="8"/>
      <c r="V97" s="8"/>
      <c r="W97" s="8"/>
      <c r="X97" s="8"/>
      <c r="Y97" s="8"/>
      <c r="Z97" s="8"/>
    </row>
    <row r="98" spans="1:26" ht="12.75" customHeight="1" x14ac:dyDescent="0.25">
      <c r="A98" s="133"/>
      <c r="B98" s="8"/>
      <c r="C98" s="8"/>
      <c r="D98" s="8"/>
      <c r="E98" s="8"/>
      <c r="F98" s="8"/>
      <c r="G98" s="8"/>
      <c r="H98" s="8"/>
      <c r="I98" s="8"/>
      <c r="J98" s="8"/>
      <c r="K98" s="8"/>
      <c r="L98" s="94"/>
      <c r="M98" s="8"/>
      <c r="N98" s="8"/>
      <c r="O98" s="8"/>
      <c r="P98" s="8"/>
      <c r="Q98" s="8"/>
      <c r="R98" s="8"/>
      <c r="S98" s="8"/>
      <c r="T98" s="8"/>
      <c r="U98" s="8"/>
      <c r="V98" s="8"/>
      <c r="W98" s="8"/>
      <c r="X98" s="8"/>
      <c r="Y98" s="8"/>
      <c r="Z98" s="8"/>
    </row>
    <row r="99" spans="1:26" ht="12.75" customHeight="1" x14ac:dyDescent="0.25">
      <c r="A99" s="133"/>
      <c r="B99" s="8"/>
      <c r="C99" s="8"/>
      <c r="D99" s="8"/>
      <c r="E99" s="8"/>
      <c r="F99" s="8"/>
      <c r="G99" s="8"/>
      <c r="H99" s="8"/>
      <c r="I99" s="8"/>
      <c r="J99" s="8"/>
      <c r="K99" s="8"/>
      <c r="L99" s="94"/>
      <c r="M99" s="8"/>
      <c r="N99" s="8"/>
      <c r="O99" s="8"/>
      <c r="P99" s="8"/>
      <c r="Q99" s="8"/>
      <c r="R99" s="8"/>
      <c r="S99" s="8"/>
      <c r="T99" s="8"/>
      <c r="U99" s="8"/>
      <c r="V99" s="8"/>
      <c r="W99" s="8"/>
      <c r="X99" s="8"/>
      <c r="Y99" s="8"/>
      <c r="Z99" s="8"/>
    </row>
    <row r="100" spans="1:26" ht="12.75" customHeight="1" x14ac:dyDescent="0.25">
      <c r="A100" s="133"/>
      <c r="B100" s="8"/>
      <c r="C100" s="8"/>
      <c r="D100" s="8"/>
      <c r="E100" s="8"/>
      <c r="F100" s="8"/>
      <c r="G100" s="8"/>
      <c r="H100" s="8"/>
      <c r="I100" s="8"/>
      <c r="J100" s="8"/>
      <c r="K100" s="8"/>
      <c r="L100" s="94"/>
      <c r="M100" s="8"/>
      <c r="N100" s="8"/>
      <c r="O100" s="8"/>
      <c r="P100" s="8"/>
      <c r="Q100" s="8"/>
      <c r="R100" s="8"/>
      <c r="S100" s="8"/>
      <c r="T100" s="8"/>
      <c r="U100" s="8"/>
      <c r="V100" s="8"/>
      <c r="W100" s="8"/>
      <c r="X100" s="8"/>
      <c r="Y100" s="8"/>
      <c r="Z100" s="8"/>
    </row>
    <row r="101" spans="1:26" ht="12.75" customHeight="1" x14ac:dyDescent="0.25">
      <c r="A101" s="133"/>
      <c r="B101" s="8"/>
      <c r="C101" s="8"/>
      <c r="D101" s="8"/>
      <c r="E101" s="8"/>
      <c r="F101" s="8"/>
      <c r="G101" s="8"/>
      <c r="H101" s="8"/>
      <c r="I101" s="8"/>
      <c r="J101" s="8"/>
      <c r="K101" s="8"/>
      <c r="L101" s="94"/>
      <c r="M101" s="8"/>
      <c r="N101" s="8"/>
      <c r="O101" s="8"/>
      <c r="P101" s="8"/>
      <c r="Q101" s="8"/>
      <c r="R101" s="8"/>
      <c r="S101" s="8"/>
      <c r="T101" s="8"/>
      <c r="U101" s="8"/>
      <c r="V101" s="8"/>
      <c r="W101" s="8"/>
      <c r="X101" s="8"/>
      <c r="Y101" s="8"/>
      <c r="Z101" s="8"/>
    </row>
    <row r="102" spans="1:26" ht="12.75" customHeight="1" x14ac:dyDescent="0.25">
      <c r="A102" s="133"/>
      <c r="B102" s="8"/>
      <c r="C102" s="8"/>
      <c r="D102" s="8"/>
      <c r="E102" s="8"/>
      <c r="F102" s="8"/>
      <c r="G102" s="8"/>
      <c r="H102" s="8"/>
      <c r="I102" s="8"/>
      <c r="J102" s="8"/>
      <c r="K102" s="8"/>
      <c r="L102" s="94"/>
      <c r="M102" s="8"/>
      <c r="N102" s="8"/>
      <c r="O102" s="8"/>
      <c r="P102" s="8"/>
      <c r="Q102" s="8"/>
      <c r="R102" s="8"/>
      <c r="S102" s="8"/>
      <c r="T102" s="8"/>
      <c r="U102" s="8"/>
      <c r="V102" s="8"/>
      <c r="W102" s="8"/>
      <c r="X102" s="8"/>
      <c r="Y102" s="8"/>
      <c r="Z102" s="8"/>
    </row>
    <row r="103" spans="1:26" ht="12.75" customHeight="1" x14ac:dyDescent="0.25">
      <c r="A103" s="133"/>
      <c r="B103" s="8"/>
      <c r="C103" s="8"/>
      <c r="D103" s="8"/>
      <c r="E103" s="8"/>
      <c r="F103" s="8"/>
      <c r="G103" s="8"/>
      <c r="H103" s="8"/>
      <c r="I103" s="8"/>
      <c r="J103" s="8"/>
      <c r="K103" s="8"/>
      <c r="L103" s="94"/>
      <c r="M103" s="8"/>
      <c r="N103" s="8"/>
      <c r="O103" s="8"/>
      <c r="P103" s="8"/>
      <c r="Q103" s="8"/>
      <c r="R103" s="8"/>
      <c r="S103" s="8"/>
      <c r="T103" s="8"/>
      <c r="U103" s="8"/>
      <c r="V103" s="8"/>
      <c r="W103" s="8"/>
      <c r="X103" s="8"/>
      <c r="Y103" s="8"/>
      <c r="Z103" s="8"/>
    </row>
    <row r="104" spans="1:26" ht="12.75" customHeight="1" x14ac:dyDescent="0.25">
      <c r="A104" s="133"/>
      <c r="B104" s="8"/>
      <c r="C104" s="8"/>
      <c r="D104" s="8"/>
      <c r="E104" s="8"/>
      <c r="F104" s="8"/>
      <c r="G104" s="8"/>
      <c r="H104" s="8"/>
      <c r="I104" s="8"/>
      <c r="J104" s="8"/>
      <c r="K104" s="8"/>
      <c r="L104" s="94"/>
      <c r="M104" s="8"/>
      <c r="N104" s="8"/>
      <c r="O104" s="8"/>
      <c r="P104" s="8"/>
      <c r="Q104" s="8"/>
      <c r="R104" s="8"/>
      <c r="S104" s="8"/>
      <c r="T104" s="8"/>
      <c r="U104" s="8"/>
      <c r="V104" s="8"/>
      <c r="W104" s="8"/>
      <c r="X104" s="8"/>
      <c r="Y104" s="8"/>
      <c r="Z104" s="8"/>
    </row>
    <row r="105" spans="1:26" ht="12.75" customHeight="1" x14ac:dyDescent="0.25">
      <c r="A105" s="133"/>
      <c r="B105" s="8"/>
      <c r="C105" s="8"/>
      <c r="D105" s="8"/>
      <c r="E105" s="8"/>
      <c r="F105" s="8"/>
      <c r="G105" s="8"/>
      <c r="H105" s="8"/>
      <c r="I105" s="8"/>
      <c r="J105" s="8"/>
      <c r="K105" s="8"/>
      <c r="L105" s="94"/>
      <c r="M105" s="8"/>
      <c r="N105" s="8"/>
      <c r="O105" s="8"/>
      <c r="P105" s="8"/>
      <c r="Q105" s="8"/>
      <c r="R105" s="8"/>
      <c r="S105" s="8"/>
      <c r="T105" s="8"/>
      <c r="U105" s="8"/>
      <c r="V105" s="8"/>
      <c r="W105" s="8"/>
      <c r="X105" s="8"/>
      <c r="Y105" s="8"/>
      <c r="Z105" s="8"/>
    </row>
    <row r="106" spans="1:26" ht="12.75" customHeight="1" x14ac:dyDescent="0.25">
      <c r="A106" s="133"/>
      <c r="B106" s="8"/>
      <c r="C106" s="8"/>
      <c r="D106" s="8"/>
      <c r="E106" s="8"/>
      <c r="F106" s="8"/>
      <c r="G106" s="8"/>
      <c r="H106" s="8"/>
      <c r="I106" s="8"/>
      <c r="J106" s="8"/>
      <c r="K106" s="8"/>
      <c r="L106" s="94"/>
      <c r="M106" s="8"/>
      <c r="N106" s="8"/>
      <c r="O106" s="8"/>
      <c r="P106" s="8"/>
      <c r="Q106" s="8"/>
      <c r="R106" s="8"/>
      <c r="S106" s="8"/>
      <c r="T106" s="8"/>
      <c r="U106" s="8"/>
      <c r="V106" s="8"/>
      <c r="W106" s="8"/>
      <c r="X106" s="8"/>
      <c r="Y106" s="8"/>
      <c r="Z106" s="8"/>
    </row>
    <row r="107" spans="1:26" ht="12.75" customHeight="1" x14ac:dyDescent="0.25">
      <c r="A107" s="133"/>
      <c r="B107" s="8"/>
      <c r="C107" s="8"/>
      <c r="D107" s="8"/>
      <c r="E107" s="8"/>
      <c r="F107" s="8"/>
      <c r="G107" s="8"/>
      <c r="H107" s="8"/>
      <c r="I107" s="8"/>
      <c r="J107" s="8"/>
      <c r="K107" s="8"/>
      <c r="L107" s="94"/>
      <c r="M107" s="8"/>
      <c r="N107" s="8"/>
      <c r="O107" s="8"/>
      <c r="P107" s="8"/>
      <c r="Q107" s="8"/>
      <c r="R107" s="8"/>
      <c r="S107" s="8"/>
      <c r="T107" s="8"/>
      <c r="U107" s="8"/>
      <c r="V107" s="8"/>
      <c r="W107" s="8"/>
      <c r="X107" s="8"/>
      <c r="Y107" s="8"/>
      <c r="Z107" s="8"/>
    </row>
    <row r="108" spans="1:26" ht="12.75" customHeight="1" x14ac:dyDescent="0.25">
      <c r="A108" s="133"/>
      <c r="B108" s="8"/>
      <c r="C108" s="8"/>
      <c r="D108" s="8"/>
      <c r="E108" s="8"/>
      <c r="F108" s="8"/>
      <c r="G108" s="8"/>
      <c r="H108" s="8"/>
      <c r="I108" s="8"/>
      <c r="J108" s="8"/>
      <c r="K108" s="8"/>
      <c r="L108" s="94"/>
      <c r="M108" s="8"/>
      <c r="N108" s="8"/>
      <c r="O108" s="8"/>
      <c r="P108" s="8"/>
      <c r="Q108" s="8"/>
      <c r="R108" s="8"/>
      <c r="S108" s="8"/>
      <c r="T108" s="8"/>
      <c r="U108" s="8"/>
      <c r="V108" s="8"/>
      <c r="W108" s="8"/>
      <c r="X108" s="8"/>
      <c r="Y108" s="8"/>
      <c r="Z108" s="8"/>
    </row>
    <row r="109" spans="1:26" ht="12.75" customHeight="1" x14ac:dyDescent="0.25">
      <c r="A109" s="133"/>
      <c r="B109" s="8"/>
      <c r="C109" s="8"/>
      <c r="D109" s="8"/>
      <c r="E109" s="8"/>
      <c r="F109" s="8"/>
      <c r="G109" s="8"/>
      <c r="H109" s="8"/>
      <c r="I109" s="8"/>
      <c r="J109" s="8"/>
      <c r="K109" s="8"/>
      <c r="L109" s="94"/>
      <c r="M109" s="8"/>
      <c r="N109" s="8"/>
      <c r="O109" s="8"/>
      <c r="P109" s="8"/>
      <c r="Q109" s="8"/>
      <c r="R109" s="8"/>
      <c r="S109" s="8"/>
      <c r="T109" s="8"/>
      <c r="U109" s="8"/>
      <c r="V109" s="8"/>
      <c r="W109" s="8"/>
      <c r="X109" s="8"/>
      <c r="Y109" s="8"/>
      <c r="Z109" s="8"/>
    </row>
    <row r="110" spans="1:26" ht="12.75" customHeight="1" x14ac:dyDescent="0.25">
      <c r="A110" s="133"/>
      <c r="B110" s="8"/>
      <c r="C110" s="8"/>
      <c r="D110" s="8"/>
      <c r="E110" s="8"/>
      <c r="F110" s="8"/>
      <c r="G110" s="8"/>
      <c r="H110" s="8"/>
      <c r="I110" s="8"/>
      <c r="J110" s="8"/>
      <c r="K110" s="8"/>
      <c r="L110" s="94"/>
      <c r="M110" s="8"/>
      <c r="N110" s="8"/>
      <c r="O110" s="8"/>
      <c r="P110" s="8"/>
      <c r="Q110" s="8"/>
      <c r="R110" s="8"/>
      <c r="S110" s="8"/>
      <c r="T110" s="8"/>
      <c r="U110" s="8"/>
      <c r="V110" s="8"/>
      <c r="W110" s="8"/>
      <c r="X110" s="8"/>
      <c r="Y110" s="8"/>
      <c r="Z110" s="8"/>
    </row>
    <row r="111" spans="1:26" ht="12.75" customHeight="1" x14ac:dyDescent="0.25">
      <c r="A111" s="133"/>
      <c r="B111" s="8"/>
      <c r="C111" s="8"/>
      <c r="D111" s="8"/>
      <c r="E111" s="8"/>
      <c r="F111" s="8"/>
      <c r="G111" s="8"/>
      <c r="H111" s="8"/>
      <c r="I111" s="8"/>
      <c r="J111" s="8"/>
      <c r="K111" s="8"/>
      <c r="L111" s="94"/>
      <c r="M111" s="8"/>
      <c r="N111" s="8"/>
      <c r="O111" s="8"/>
      <c r="P111" s="8"/>
      <c r="Q111" s="8"/>
      <c r="R111" s="8"/>
      <c r="S111" s="8"/>
      <c r="T111" s="8"/>
      <c r="U111" s="8"/>
      <c r="V111" s="8"/>
      <c r="W111" s="8"/>
      <c r="X111" s="8"/>
      <c r="Y111" s="8"/>
      <c r="Z111" s="8"/>
    </row>
    <row r="112" spans="1:26" ht="12.75" customHeight="1" x14ac:dyDescent="0.25">
      <c r="A112" s="133"/>
      <c r="B112" s="8"/>
      <c r="C112" s="8"/>
      <c r="D112" s="8"/>
      <c r="E112" s="8"/>
      <c r="F112" s="8"/>
      <c r="G112" s="8"/>
      <c r="H112" s="8"/>
      <c r="I112" s="8"/>
      <c r="J112" s="8"/>
      <c r="K112" s="8"/>
      <c r="L112" s="94"/>
      <c r="M112" s="8"/>
      <c r="N112" s="8"/>
      <c r="O112" s="8"/>
      <c r="P112" s="8"/>
      <c r="Q112" s="8"/>
      <c r="R112" s="8"/>
      <c r="S112" s="8"/>
      <c r="T112" s="8"/>
      <c r="U112" s="8"/>
      <c r="V112" s="8"/>
      <c r="W112" s="8"/>
      <c r="X112" s="8"/>
      <c r="Y112" s="8"/>
      <c r="Z112" s="8"/>
    </row>
    <row r="113" spans="1:26" ht="12.75" customHeight="1" x14ac:dyDescent="0.25">
      <c r="A113" s="133"/>
      <c r="B113" s="8"/>
      <c r="C113" s="8"/>
      <c r="D113" s="8"/>
      <c r="E113" s="8"/>
      <c r="F113" s="8"/>
      <c r="G113" s="8"/>
      <c r="H113" s="8"/>
      <c r="I113" s="8"/>
      <c r="J113" s="8"/>
      <c r="K113" s="8"/>
      <c r="L113" s="94"/>
      <c r="M113" s="8"/>
      <c r="N113" s="8"/>
      <c r="O113" s="8"/>
      <c r="P113" s="8"/>
      <c r="Q113" s="8"/>
      <c r="R113" s="8"/>
      <c r="S113" s="8"/>
      <c r="T113" s="8"/>
      <c r="U113" s="8"/>
      <c r="V113" s="8"/>
      <c r="W113" s="8"/>
      <c r="X113" s="8"/>
      <c r="Y113" s="8"/>
      <c r="Z113" s="8"/>
    </row>
    <row r="114" spans="1:26" ht="12.75" customHeight="1" x14ac:dyDescent="0.25">
      <c r="A114" s="133"/>
      <c r="B114" s="8"/>
      <c r="C114" s="8"/>
      <c r="D114" s="8"/>
      <c r="E114" s="8"/>
      <c r="F114" s="8"/>
      <c r="G114" s="8"/>
      <c r="H114" s="8"/>
      <c r="I114" s="8"/>
      <c r="J114" s="8"/>
      <c r="K114" s="8"/>
      <c r="L114" s="94"/>
      <c r="M114" s="8"/>
      <c r="N114" s="8"/>
      <c r="O114" s="8"/>
      <c r="P114" s="8"/>
      <c r="Q114" s="8"/>
      <c r="R114" s="8"/>
      <c r="S114" s="8"/>
      <c r="T114" s="8"/>
      <c r="U114" s="8"/>
      <c r="V114" s="8"/>
      <c r="W114" s="8"/>
      <c r="X114" s="8"/>
      <c r="Y114" s="8"/>
      <c r="Z114" s="8"/>
    </row>
    <row r="115" spans="1:26" ht="12.75" customHeight="1" x14ac:dyDescent="0.25">
      <c r="A115" s="133"/>
      <c r="B115" s="8"/>
      <c r="C115" s="8"/>
      <c r="D115" s="8"/>
      <c r="E115" s="8"/>
      <c r="F115" s="8"/>
      <c r="G115" s="8"/>
      <c r="H115" s="8"/>
      <c r="I115" s="8"/>
      <c r="J115" s="8"/>
      <c r="K115" s="8"/>
      <c r="L115" s="94"/>
      <c r="M115" s="8"/>
      <c r="N115" s="8"/>
      <c r="O115" s="8"/>
      <c r="P115" s="8"/>
      <c r="Q115" s="8"/>
      <c r="R115" s="8"/>
      <c r="S115" s="8"/>
      <c r="T115" s="8"/>
      <c r="U115" s="8"/>
      <c r="V115" s="8"/>
      <c r="W115" s="8"/>
      <c r="X115" s="8"/>
      <c r="Y115" s="8"/>
      <c r="Z115" s="8"/>
    </row>
    <row r="116" spans="1:26" ht="12.75" customHeight="1" x14ac:dyDescent="0.25">
      <c r="A116" s="133"/>
      <c r="B116" s="8"/>
      <c r="C116" s="8"/>
      <c r="D116" s="8"/>
      <c r="E116" s="8"/>
      <c r="F116" s="8"/>
      <c r="G116" s="8"/>
      <c r="H116" s="8"/>
      <c r="I116" s="8"/>
      <c r="J116" s="8"/>
      <c r="K116" s="8"/>
      <c r="L116" s="94"/>
      <c r="M116" s="8"/>
      <c r="N116" s="8"/>
      <c r="O116" s="8"/>
      <c r="P116" s="8"/>
      <c r="Q116" s="8"/>
      <c r="R116" s="8"/>
      <c r="S116" s="8"/>
      <c r="T116" s="8"/>
      <c r="U116" s="8"/>
      <c r="V116" s="8"/>
      <c r="W116" s="8"/>
      <c r="X116" s="8"/>
      <c r="Y116" s="8"/>
      <c r="Z116" s="8"/>
    </row>
    <row r="117" spans="1:26" ht="12.75" customHeight="1" x14ac:dyDescent="0.25">
      <c r="A117" s="133"/>
      <c r="B117" s="8"/>
      <c r="C117" s="8"/>
      <c r="D117" s="8"/>
      <c r="E117" s="8"/>
      <c r="F117" s="8"/>
      <c r="G117" s="8"/>
      <c r="H117" s="8"/>
      <c r="I117" s="8"/>
      <c r="J117" s="8"/>
      <c r="K117" s="8"/>
      <c r="L117" s="94"/>
      <c r="M117" s="8"/>
      <c r="N117" s="8"/>
      <c r="O117" s="8"/>
      <c r="P117" s="8"/>
      <c r="Q117" s="8"/>
      <c r="R117" s="8"/>
      <c r="S117" s="8"/>
      <c r="T117" s="8"/>
      <c r="U117" s="8"/>
      <c r="V117" s="8"/>
      <c r="W117" s="8"/>
      <c r="X117" s="8"/>
      <c r="Y117" s="8"/>
      <c r="Z117" s="8"/>
    </row>
    <row r="118" spans="1:26" ht="12.75" customHeight="1" x14ac:dyDescent="0.25">
      <c r="A118" s="133"/>
      <c r="B118" s="8"/>
      <c r="C118" s="8"/>
      <c r="D118" s="8"/>
      <c r="E118" s="8"/>
      <c r="F118" s="8"/>
      <c r="G118" s="8"/>
      <c r="H118" s="8"/>
      <c r="I118" s="8"/>
      <c r="J118" s="8"/>
      <c r="K118" s="8"/>
      <c r="L118" s="94"/>
      <c r="M118" s="8"/>
      <c r="N118" s="8"/>
      <c r="O118" s="8"/>
      <c r="P118" s="8"/>
      <c r="Q118" s="8"/>
      <c r="R118" s="8"/>
      <c r="S118" s="8"/>
      <c r="T118" s="8"/>
      <c r="U118" s="8"/>
      <c r="V118" s="8"/>
      <c r="W118" s="8"/>
      <c r="X118" s="8"/>
      <c r="Y118" s="8"/>
      <c r="Z118" s="8"/>
    </row>
    <row r="119" spans="1:26" ht="12.75" customHeight="1" x14ac:dyDescent="0.25">
      <c r="A119" s="133"/>
      <c r="B119" s="8"/>
      <c r="C119" s="8"/>
      <c r="D119" s="8"/>
      <c r="E119" s="8"/>
      <c r="F119" s="8"/>
      <c r="G119" s="8"/>
      <c r="H119" s="8"/>
      <c r="I119" s="8"/>
      <c r="J119" s="8"/>
      <c r="K119" s="8"/>
      <c r="L119" s="94"/>
      <c r="M119" s="8"/>
      <c r="N119" s="8"/>
      <c r="O119" s="8"/>
      <c r="P119" s="8"/>
      <c r="Q119" s="8"/>
      <c r="R119" s="8"/>
      <c r="S119" s="8"/>
      <c r="T119" s="8"/>
      <c r="U119" s="8"/>
      <c r="V119" s="8"/>
      <c r="W119" s="8"/>
      <c r="X119" s="8"/>
      <c r="Y119" s="8"/>
      <c r="Z119" s="8"/>
    </row>
    <row r="120" spans="1:26" ht="12.75" customHeight="1" x14ac:dyDescent="0.25">
      <c r="A120" s="133"/>
      <c r="B120" s="8"/>
      <c r="C120" s="8"/>
      <c r="D120" s="8"/>
      <c r="E120" s="8"/>
      <c r="F120" s="8"/>
      <c r="G120" s="8"/>
      <c r="H120" s="8"/>
      <c r="I120" s="8"/>
      <c r="J120" s="8"/>
      <c r="K120" s="8"/>
      <c r="L120" s="94"/>
      <c r="M120" s="8"/>
      <c r="N120" s="8"/>
      <c r="O120" s="8"/>
      <c r="P120" s="8"/>
      <c r="Q120" s="8"/>
      <c r="R120" s="8"/>
      <c r="S120" s="8"/>
      <c r="T120" s="8"/>
      <c r="U120" s="8"/>
      <c r="V120" s="8"/>
      <c r="W120" s="8"/>
      <c r="X120" s="8"/>
      <c r="Y120" s="8"/>
      <c r="Z120" s="8"/>
    </row>
    <row r="121" spans="1:26" ht="12.75" customHeight="1" x14ac:dyDescent="0.25">
      <c r="A121" s="133"/>
      <c r="B121" s="8"/>
      <c r="C121" s="8"/>
      <c r="D121" s="8"/>
      <c r="E121" s="8"/>
      <c r="F121" s="8"/>
      <c r="G121" s="8"/>
      <c r="H121" s="8"/>
      <c r="I121" s="8"/>
      <c r="J121" s="8"/>
      <c r="K121" s="8"/>
      <c r="L121" s="94"/>
      <c r="M121" s="8"/>
      <c r="N121" s="8"/>
      <c r="O121" s="8"/>
      <c r="P121" s="8"/>
      <c r="Q121" s="8"/>
      <c r="R121" s="8"/>
      <c r="S121" s="8"/>
      <c r="T121" s="8"/>
      <c r="U121" s="8"/>
      <c r="V121" s="8"/>
      <c r="W121" s="8"/>
      <c r="X121" s="8"/>
      <c r="Y121" s="8"/>
      <c r="Z121" s="8"/>
    </row>
    <row r="122" spans="1:26" ht="12.75" customHeight="1" x14ac:dyDescent="0.25">
      <c r="A122" s="133"/>
      <c r="B122" s="8"/>
      <c r="C122" s="8"/>
      <c r="D122" s="8"/>
      <c r="E122" s="8"/>
      <c r="F122" s="8"/>
      <c r="G122" s="8"/>
      <c r="H122" s="8"/>
      <c r="I122" s="8"/>
      <c r="J122" s="8"/>
      <c r="K122" s="8"/>
      <c r="L122" s="94"/>
      <c r="M122" s="8"/>
      <c r="N122" s="8"/>
      <c r="O122" s="8"/>
      <c r="P122" s="8"/>
      <c r="Q122" s="8"/>
      <c r="R122" s="8"/>
      <c r="S122" s="8"/>
      <c r="T122" s="8"/>
      <c r="U122" s="8"/>
      <c r="V122" s="8"/>
      <c r="W122" s="8"/>
      <c r="X122" s="8"/>
      <c r="Y122" s="8"/>
      <c r="Z122" s="8"/>
    </row>
    <row r="123" spans="1:26" ht="12.75" customHeight="1" x14ac:dyDescent="0.25">
      <c r="A123" s="133"/>
      <c r="B123" s="8"/>
      <c r="C123" s="8"/>
      <c r="D123" s="8"/>
      <c r="E123" s="8"/>
      <c r="F123" s="8"/>
      <c r="G123" s="8"/>
      <c r="H123" s="8"/>
      <c r="I123" s="8"/>
      <c r="J123" s="8"/>
      <c r="K123" s="8"/>
      <c r="L123" s="94"/>
      <c r="M123" s="8"/>
      <c r="N123" s="8"/>
      <c r="O123" s="8"/>
      <c r="P123" s="8"/>
      <c r="Q123" s="8"/>
      <c r="R123" s="8"/>
      <c r="S123" s="8"/>
      <c r="T123" s="8"/>
      <c r="U123" s="8"/>
      <c r="V123" s="8"/>
      <c r="W123" s="8"/>
      <c r="X123" s="8"/>
      <c r="Y123" s="8"/>
      <c r="Z123" s="8"/>
    </row>
    <row r="124" spans="1:26" ht="12.75" customHeight="1" x14ac:dyDescent="0.25">
      <c r="A124" s="133"/>
      <c r="B124" s="8"/>
      <c r="C124" s="8"/>
      <c r="D124" s="8"/>
      <c r="E124" s="8"/>
      <c r="F124" s="8"/>
      <c r="G124" s="8"/>
      <c r="H124" s="8"/>
      <c r="I124" s="8"/>
      <c r="J124" s="8"/>
      <c r="K124" s="8"/>
      <c r="L124" s="94"/>
      <c r="M124" s="8"/>
      <c r="N124" s="8"/>
      <c r="O124" s="8"/>
      <c r="P124" s="8"/>
      <c r="Q124" s="8"/>
      <c r="R124" s="8"/>
      <c r="S124" s="8"/>
      <c r="T124" s="8"/>
      <c r="U124" s="8"/>
      <c r="V124" s="8"/>
      <c r="W124" s="8"/>
      <c r="X124" s="8"/>
      <c r="Y124" s="8"/>
      <c r="Z124" s="8"/>
    </row>
    <row r="125" spans="1:26" ht="12.75" customHeight="1" x14ac:dyDescent="0.25">
      <c r="A125" s="133"/>
      <c r="B125" s="8"/>
      <c r="C125" s="8"/>
      <c r="D125" s="8"/>
      <c r="E125" s="8"/>
      <c r="F125" s="8"/>
      <c r="G125" s="8"/>
      <c r="H125" s="8"/>
      <c r="I125" s="8"/>
      <c r="J125" s="8"/>
      <c r="K125" s="8"/>
      <c r="L125" s="94"/>
      <c r="M125" s="8"/>
      <c r="N125" s="8"/>
      <c r="O125" s="8"/>
      <c r="P125" s="8"/>
      <c r="Q125" s="8"/>
      <c r="R125" s="8"/>
      <c r="S125" s="8"/>
      <c r="T125" s="8"/>
      <c r="U125" s="8"/>
      <c r="V125" s="8"/>
      <c r="W125" s="8"/>
      <c r="X125" s="8"/>
      <c r="Y125" s="8"/>
      <c r="Z125" s="8"/>
    </row>
    <row r="126" spans="1:26" ht="12.75" customHeight="1" x14ac:dyDescent="0.25">
      <c r="A126" s="133"/>
      <c r="B126" s="8"/>
      <c r="C126" s="8"/>
      <c r="D126" s="8"/>
      <c r="E126" s="8"/>
      <c r="F126" s="8"/>
      <c r="G126" s="8"/>
      <c r="H126" s="8"/>
      <c r="I126" s="8"/>
      <c r="J126" s="8"/>
      <c r="K126" s="8"/>
      <c r="L126" s="94"/>
      <c r="M126" s="8"/>
      <c r="N126" s="8"/>
      <c r="O126" s="8"/>
      <c r="P126" s="8"/>
      <c r="Q126" s="8"/>
      <c r="R126" s="8"/>
      <c r="S126" s="8"/>
      <c r="T126" s="8"/>
      <c r="U126" s="8"/>
      <c r="V126" s="8"/>
      <c r="W126" s="8"/>
      <c r="X126" s="8"/>
      <c r="Y126" s="8"/>
      <c r="Z126" s="8"/>
    </row>
    <row r="127" spans="1:26" ht="12.75" customHeight="1" x14ac:dyDescent="0.25">
      <c r="A127" s="133"/>
      <c r="B127" s="8"/>
      <c r="C127" s="8"/>
      <c r="D127" s="8"/>
      <c r="E127" s="8"/>
      <c r="F127" s="8"/>
      <c r="G127" s="8"/>
      <c r="H127" s="8"/>
      <c r="I127" s="8"/>
      <c r="J127" s="8"/>
      <c r="K127" s="8"/>
      <c r="L127" s="94"/>
      <c r="M127" s="8"/>
      <c r="N127" s="8"/>
      <c r="O127" s="8"/>
      <c r="P127" s="8"/>
      <c r="Q127" s="8"/>
      <c r="R127" s="8"/>
      <c r="S127" s="8"/>
      <c r="T127" s="8"/>
      <c r="U127" s="8"/>
      <c r="V127" s="8"/>
      <c r="W127" s="8"/>
      <c r="X127" s="8"/>
      <c r="Y127" s="8"/>
      <c r="Z127" s="8"/>
    </row>
    <row r="128" spans="1:26" ht="12.75" customHeight="1" x14ac:dyDescent="0.25">
      <c r="A128" s="133"/>
      <c r="B128" s="8"/>
      <c r="C128" s="8"/>
      <c r="D128" s="8"/>
      <c r="E128" s="8"/>
      <c r="F128" s="8"/>
      <c r="G128" s="8"/>
      <c r="H128" s="8"/>
      <c r="I128" s="8"/>
      <c r="J128" s="8"/>
      <c r="K128" s="8"/>
      <c r="L128" s="94"/>
      <c r="M128" s="8"/>
      <c r="N128" s="8"/>
      <c r="O128" s="8"/>
      <c r="P128" s="8"/>
      <c r="Q128" s="8"/>
      <c r="R128" s="8"/>
      <c r="S128" s="8"/>
      <c r="T128" s="8"/>
      <c r="U128" s="8"/>
      <c r="V128" s="8"/>
      <c r="W128" s="8"/>
      <c r="X128" s="8"/>
      <c r="Y128" s="8"/>
      <c r="Z128" s="8"/>
    </row>
    <row r="129" spans="1:26" ht="12.75" customHeight="1" x14ac:dyDescent="0.25">
      <c r="A129" s="133"/>
      <c r="B129" s="8"/>
      <c r="C129" s="8"/>
      <c r="D129" s="8"/>
      <c r="E129" s="8"/>
      <c r="F129" s="8"/>
      <c r="G129" s="8"/>
      <c r="H129" s="8"/>
      <c r="I129" s="8"/>
      <c r="J129" s="8"/>
      <c r="K129" s="8"/>
      <c r="L129" s="94"/>
      <c r="M129" s="8"/>
      <c r="N129" s="8"/>
      <c r="O129" s="8"/>
      <c r="P129" s="8"/>
      <c r="Q129" s="8"/>
      <c r="R129" s="8"/>
      <c r="S129" s="8"/>
      <c r="T129" s="8"/>
      <c r="U129" s="8"/>
      <c r="V129" s="8"/>
      <c r="W129" s="8"/>
      <c r="X129" s="8"/>
      <c r="Y129" s="8"/>
      <c r="Z129" s="8"/>
    </row>
    <row r="130" spans="1:26" ht="12.75" customHeight="1" x14ac:dyDescent="0.25">
      <c r="A130" s="133"/>
      <c r="B130" s="8"/>
      <c r="C130" s="8"/>
      <c r="D130" s="8"/>
      <c r="E130" s="8"/>
      <c r="F130" s="8"/>
      <c r="G130" s="8"/>
      <c r="H130" s="8"/>
      <c r="I130" s="8"/>
      <c r="J130" s="8"/>
      <c r="K130" s="8"/>
      <c r="L130" s="94"/>
      <c r="M130" s="8"/>
      <c r="N130" s="8"/>
      <c r="O130" s="8"/>
      <c r="P130" s="8"/>
      <c r="Q130" s="8"/>
      <c r="R130" s="8"/>
      <c r="S130" s="8"/>
      <c r="T130" s="8"/>
      <c r="U130" s="8"/>
      <c r="V130" s="8"/>
      <c r="W130" s="8"/>
      <c r="X130" s="8"/>
      <c r="Y130" s="8"/>
      <c r="Z130" s="8"/>
    </row>
    <row r="131" spans="1:26" ht="12.75" customHeight="1" x14ac:dyDescent="0.25">
      <c r="A131" s="133"/>
      <c r="B131" s="8"/>
      <c r="C131" s="8"/>
      <c r="D131" s="8"/>
      <c r="E131" s="8"/>
      <c r="F131" s="8"/>
      <c r="G131" s="8"/>
      <c r="H131" s="8"/>
      <c r="I131" s="8"/>
      <c r="J131" s="8"/>
      <c r="K131" s="8"/>
      <c r="L131" s="94"/>
      <c r="M131" s="8"/>
      <c r="N131" s="8"/>
      <c r="O131" s="8"/>
      <c r="P131" s="8"/>
      <c r="Q131" s="8"/>
      <c r="R131" s="8"/>
      <c r="S131" s="8"/>
      <c r="T131" s="8"/>
      <c r="U131" s="8"/>
      <c r="V131" s="8"/>
      <c r="W131" s="8"/>
      <c r="X131" s="8"/>
      <c r="Y131" s="8"/>
      <c r="Z131" s="8"/>
    </row>
    <row r="132" spans="1:26" ht="12.75" customHeight="1" x14ac:dyDescent="0.25">
      <c r="A132" s="133"/>
      <c r="B132" s="8"/>
      <c r="C132" s="8"/>
      <c r="D132" s="8"/>
      <c r="E132" s="8"/>
      <c r="F132" s="8"/>
      <c r="G132" s="8"/>
      <c r="H132" s="8"/>
      <c r="I132" s="8"/>
      <c r="J132" s="8"/>
      <c r="K132" s="8"/>
      <c r="L132" s="94"/>
      <c r="M132" s="8"/>
      <c r="N132" s="8"/>
      <c r="O132" s="8"/>
      <c r="P132" s="8"/>
      <c r="Q132" s="8"/>
      <c r="R132" s="8"/>
      <c r="S132" s="8"/>
      <c r="T132" s="8"/>
      <c r="U132" s="8"/>
      <c r="V132" s="8"/>
      <c r="W132" s="8"/>
      <c r="X132" s="8"/>
      <c r="Y132" s="8"/>
      <c r="Z132" s="8"/>
    </row>
    <row r="133" spans="1:26" ht="12.75" customHeight="1" x14ac:dyDescent="0.25">
      <c r="A133" s="133"/>
      <c r="B133" s="8"/>
      <c r="C133" s="8"/>
      <c r="D133" s="8"/>
      <c r="E133" s="8"/>
      <c r="F133" s="8"/>
      <c r="G133" s="8"/>
      <c r="H133" s="8"/>
      <c r="I133" s="8"/>
      <c r="J133" s="8"/>
      <c r="K133" s="8"/>
      <c r="L133" s="94"/>
      <c r="M133" s="8"/>
      <c r="N133" s="8"/>
      <c r="O133" s="8"/>
      <c r="P133" s="8"/>
      <c r="Q133" s="8"/>
      <c r="R133" s="8"/>
      <c r="S133" s="8"/>
      <c r="T133" s="8"/>
      <c r="U133" s="8"/>
      <c r="V133" s="8"/>
      <c r="W133" s="8"/>
      <c r="X133" s="8"/>
      <c r="Y133" s="8"/>
      <c r="Z133" s="8"/>
    </row>
    <row r="134" spans="1:26" ht="12.75" customHeight="1" x14ac:dyDescent="0.25">
      <c r="A134" s="133"/>
      <c r="B134" s="8"/>
      <c r="C134" s="8"/>
      <c r="D134" s="8"/>
      <c r="E134" s="8"/>
      <c r="F134" s="8"/>
      <c r="G134" s="8"/>
      <c r="H134" s="8"/>
      <c r="I134" s="8"/>
      <c r="J134" s="8"/>
      <c r="K134" s="8"/>
      <c r="L134" s="94"/>
      <c r="M134" s="8"/>
      <c r="N134" s="8"/>
      <c r="O134" s="8"/>
      <c r="P134" s="8"/>
      <c r="Q134" s="8"/>
      <c r="R134" s="8"/>
      <c r="S134" s="8"/>
      <c r="T134" s="8"/>
      <c r="U134" s="8"/>
      <c r="V134" s="8"/>
      <c r="W134" s="8"/>
      <c r="X134" s="8"/>
      <c r="Y134" s="8"/>
      <c r="Z134" s="8"/>
    </row>
    <row r="135" spans="1:26" ht="12.75" customHeight="1" x14ac:dyDescent="0.25">
      <c r="A135" s="133"/>
      <c r="B135" s="8"/>
      <c r="C135" s="8"/>
      <c r="D135" s="8"/>
      <c r="E135" s="8"/>
      <c r="F135" s="8"/>
      <c r="G135" s="8"/>
      <c r="H135" s="8"/>
      <c r="I135" s="8"/>
      <c r="J135" s="8"/>
      <c r="K135" s="8"/>
      <c r="L135" s="94"/>
      <c r="M135" s="8"/>
      <c r="N135" s="8"/>
      <c r="O135" s="8"/>
      <c r="P135" s="8"/>
      <c r="Q135" s="8"/>
      <c r="R135" s="8"/>
      <c r="S135" s="8"/>
      <c r="T135" s="8"/>
      <c r="U135" s="8"/>
      <c r="V135" s="8"/>
      <c r="W135" s="8"/>
      <c r="X135" s="8"/>
      <c r="Y135" s="8"/>
      <c r="Z135" s="8"/>
    </row>
    <row r="136" spans="1:26" ht="12.75" customHeight="1" x14ac:dyDescent="0.25">
      <c r="A136" s="133"/>
      <c r="B136" s="8"/>
      <c r="C136" s="8"/>
      <c r="D136" s="8"/>
      <c r="E136" s="8"/>
      <c r="F136" s="8"/>
      <c r="G136" s="8"/>
      <c r="H136" s="8"/>
      <c r="I136" s="8"/>
      <c r="J136" s="8"/>
      <c r="K136" s="8"/>
      <c r="L136" s="94"/>
      <c r="M136" s="8"/>
      <c r="N136" s="8"/>
      <c r="O136" s="8"/>
      <c r="P136" s="8"/>
      <c r="Q136" s="8"/>
      <c r="R136" s="8"/>
      <c r="S136" s="8"/>
      <c r="T136" s="8"/>
      <c r="U136" s="8"/>
      <c r="V136" s="8"/>
      <c r="W136" s="8"/>
      <c r="X136" s="8"/>
      <c r="Y136" s="8"/>
      <c r="Z136" s="8"/>
    </row>
    <row r="137" spans="1:26" ht="12.75" customHeight="1" x14ac:dyDescent="0.25">
      <c r="A137" s="133"/>
      <c r="B137" s="8"/>
      <c r="C137" s="8"/>
      <c r="D137" s="8"/>
      <c r="E137" s="8"/>
      <c r="F137" s="8"/>
      <c r="G137" s="8"/>
      <c r="H137" s="8"/>
      <c r="I137" s="8"/>
      <c r="J137" s="8"/>
      <c r="K137" s="8"/>
      <c r="L137" s="94"/>
      <c r="M137" s="8"/>
      <c r="N137" s="8"/>
      <c r="O137" s="8"/>
      <c r="P137" s="8"/>
      <c r="Q137" s="8"/>
      <c r="R137" s="8"/>
      <c r="S137" s="8"/>
      <c r="T137" s="8"/>
      <c r="U137" s="8"/>
      <c r="V137" s="8"/>
      <c r="W137" s="8"/>
      <c r="X137" s="8"/>
      <c r="Y137" s="8"/>
      <c r="Z137" s="8"/>
    </row>
    <row r="138" spans="1:26" ht="12.75" customHeight="1" x14ac:dyDescent="0.25">
      <c r="A138" s="133"/>
      <c r="B138" s="8"/>
      <c r="C138" s="8"/>
      <c r="D138" s="8"/>
      <c r="E138" s="8"/>
      <c r="F138" s="8"/>
      <c r="G138" s="8"/>
      <c r="H138" s="8"/>
      <c r="I138" s="8"/>
      <c r="J138" s="8"/>
      <c r="K138" s="8"/>
      <c r="L138" s="94"/>
      <c r="M138" s="8"/>
      <c r="N138" s="8"/>
      <c r="O138" s="8"/>
      <c r="P138" s="8"/>
      <c r="Q138" s="8"/>
      <c r="R138" s="8"/>
      <c r="S138" s="8"/>
      <c r="T138" s="8"/>
      <c r="U138" s="8"/>
      <c r="V138" s="8"/>
      <c r="W138" s="8"/>
      <c r="X138" s="8"/>
      <c r="Y138" s="8"/>
      <c r="Z138" s="8"/>
    </row>
    <row r="139" spans="1:26" ht="12.75" customHeight="1" x14ac:dyDescent="0.25">
      <c r="A139" s="133"/>
      <c r="B139" s="8"/>
      <c r="C139" s="8"/>
      <c r="D139" s="8"/>
      <c r="E139" s="8"/>
      <c r="F139" s="8"/>
      <c r="G139" s="8"/>
      <c r="H139" s="8"/>
      <c r="I139" s="8"/>
      <c r="J139" s="8"/>
      <c r="K139" s="8"/>
      <c r="L139" s="94"/>
      <c r="M139" s="8"/>
      <c r="N139" s="8"/>
      <c r="O139" s="8"/>
      <c r="P139" s="8"/>
      <c r="Q139" s="8"/>
      <c r="R139" s="8"/>
      <c r="S139" s="8"/>
      <c r="T139" s="8"/>
      <c r="U139" s="8"/>
      <c r="V139" s="8"/>
      <c r="W139" s="8"/>
      <c r="X139" s="8"/>
      <c r="Y139" s="8"/>
      <c r="Z139" s="8"/>
    </row>
    <row r="140" spans="1:26" ht="12.75" customHeight="1" x14ac:dyDescent="0.25">
      <c r="A140" s="133"/>
      <c r="B140" s="8"/>
      <c r="C140" s="8"/>
      <c r="D140" s="8"/>
      <c r="E140" s="8"/>
      <c r="F140" s="8"/>
      <c r="G140" s="8"/>
      <c r="H140" s="8"/>
      <c r="I140" s="8"/>
      <c r="J140" s="8"/>
      <c r="K140" s="8"/>
      <c r="L140" s="94"/>
      <c r="M140" s="8"/>
      <c r="N140" s="8"/>
      <c r="O140" s="8"/>
      <c r="P140" s="8"/>
      <c r="Q140" s="8"/>
      <c r="R140" s="8"/>
      <c r="S140" s="8"/>
      <c r="T140" s="8"/>
      <c r="U140" s="8"/>
      <c r="V140" s="8"/>
      <c r="W140" s="8"/>
      <c r="X140" s="8"/>
      <c r="Y140" s="8"/>
      <c r="Z140" s="8"/>
    </row>
    <row r="141" spans="1:26" ht="12.75" customHeight="1" x14ac:dyDescent="0.25">
      <c r="A141" s="133"/>
      <c r="B141" s="8"/>
      <c r="C141" s="8"/>
      <c r="D141" s="8"/>
      <c r="E141" s="8"/>
      <c r="F141" s="8"/>
      <c r="G141" s="8"/>
      <c r="H141" s="8"/>
      <c r="I141" s="8"/>
      <c r="J141" s="8"/>
      <c r="K141" s="8"/>
      <c r="L141" s="94"/>
      <c r="M141" s="8"/>
      <c r="N141" s="8"/>
      <c r="O141" s="8"/>
      <c r="P141" s="8"/>
      <c r="Q141" s="8"/>
      <c r="R141" s="8"/>
      <c r="S141" s="8"/>
      <c r="T141" s="8"/>
      <c r="U141" s="8"/>
      <c r="V141" s="8"/>
      <c r="W141" s="8"/>
      <c r="X141" s="8"/>
      <c r="Y141" s="8"/>
      <c r="Z141" s="8"/>
    </row>
    <row r="142" spans="1:26" ht="12.75" customHeight="1" x14ac:dyDescent="0.25">
      <c r="A142" s="133"/>
      <c r="B142" s="8"/>
      <c r="C142" s="8"/>
      <c r="D142" s="8"/>
      <c r="E142" s="8"/>
      <c r="F142" s="8"/>
      <c r="G142" s="8"/>
      <c r="H142" s="8"/>
      <c r="I142" s="8"/>
      <c r="J142" s="8"/>
      <c r="K142" s="8"/>
      <c r="L142" s="94"/>
      <c r="M142" s="8"/>
      <c r="N142" s="8"/>
      <c r="O142" s="8"/>
      <c r="P142" s="8"/>
      <c r="Q142" s="8"/>
      <c r="R142" s="8"/>
      <c r="S142" s="8"/>
      <c r="T142" s="8"/>
      <c r="U142" s="8"/>
      <c r="V142" s="8"/>
      <c r="W142" s="8"/>
      <c r="X142" s="8"/>
      <c r="Y142" s="8"/>
      <c r="Z142" s="8"/>
    </row>
    <row r="143" spans="1:26" ht="12.75" customHeight="1" x14ac:dyDescent="0.25">
      <c r="A143" s="133"/>
      <c r="B143" s="8"/>
      <c r="C143" s="8"/>
      <c r="D143" s="8"/>
      <c r="E143" s="8"/>
      <c r="F143" s="8"/>
      <c r="G143" s="8"/>
      <c r="H143" s="8"/>
      <c r="I143" s="8"/>
      <c r="J143" s="8"/>
      <c r="K143" s="8"/>
      <c r="L143" s="94"/>
      <c r="M143" s="8"/>
      <c r="N143" s="8"/>
      <c r="O143" s="8"/>
      <c r="P143" s="8"/>
      <c r="Q143" s="8"/>
      <c r="R143" s="8"/>
      <c r="S143" s="8"/>
      <c r="T143" s="8"/>
      <c r="U143" s="8"/>
      <c r="V143" s="8"/>
      <c r="W143" s="8"/>
      <c r="X143" s="8"/>
      <c r="Y143" s="8"/>
      <c r="Z143" s="8"/>
    </row>
    <row r="144" spans="1:26" ht="12.75" customHeight="1" x14ac:dyDescent="0.25">
      <c r="A144" s="133"/>
      <c r="B144" s="8"/>
      <c r="C144" s="8"/>
      <c r="D144" s="8"/>
      <c r="E144" s="8"/>
      <c r="F144" s="8"/>
      <c r="G144" s="8"/>
      <c r="H144" s="8"/>
      <c r="I144" s="8"/>
      <c r="J144" s="8"/>
      <c r="K144" s="8"/>
      <c r="L144" s="94"/>
      <c r="M144" s="8"/>
      <c r="N144" s="8"/>
      <c r="O144" s="8"/>
      <c r="P144" s="8"/>
      <c r="Q144" s="8"/>
      <c r="R144" s="8"/>
      <c r="S144" s="8"/>
      <c r="T144" s="8"/>
      <c r="U144" s="8"/>
      <c r="V144" s="8"/>
      <c r="W144" s="8"/>
      <c r="X144" s="8"/>
      <c r="Y144" s="8"/>
      <c r="Z144" s="8"/>
    </row>
    <row r="145" spans="1:26" ht="12.75" customHeight="1" x14ac:dyDescent="0.25">
      <c r="A145" s="133"/>
      <c r="B145" s="8"/>
      <c r="C145" s="8"/>
      <c r="D145" s="8"/>
      <c r="E145" s="8"/>
      <c r="F145" s="8"/>
      <c r="G145" s="8"/>
      <c r="H145" s="8"/>
      <c r="I145" s="8"/>
      <c r="J145" s="8"/>
      <c r="K145" s="8"/>
      <c r="L145" s="94"/>
      <c r="M145" s="8"/>
      <c r="N145" s="8"/>
      <c r="O145" s="8"/>
      <c r="P145" s="8"/>
      <c r="Q145" s="8"/>
      <c r="R145" s="8"/>
      <c r="S145" s="8"/>
      <c r="T145" s="8"/>
      <c r="U145" s="8"/>
      <c r="V145" s="8"/>
      <c r="W145" s="8"/>
      <c r="X145" s="8"/>
      <c r="Y145" s="8"/>
      <c r="Z145" s="8"/>
    </row>
    <row r="146" spans="1:26" ht="12.75" customHeight="1" x14ac:dyDescent="0.25">
      <c r="A146" s="133"/>
      <c r="B146" s="8"/>
      <c r="C146" s="8"/>
      <c r="D146" s="8"/>
      <c r="E146" s="8"/>
      <c r="F146" s="8"/>
      <c r="G146" s="8"/>
      <c r="H146" s="8"/>
      <c r="I146" s="8"/>
      <c r="J146" s="8"/>
      <c r="K146" s="8"/>
      <c r="L146" s="94"/>
      <c r="M146" s="8"/>
      <c r="N146" s="8"/>
      <c r="O146" s="8"/>
      <c r="P146" s="8"/>
      <c r="Q146" s="8"/>
      <c r="R146" s="8"/>
      <c r="S146" s="8"/>
      <c r="T146" s="8"/>
      <c r="U146" s="8"/>
      <c r="V146" s="8"/>
      <c r="W146" s="8"/>
      <c r="X146" s="8"/>
      <c r="Y146" s="8"/>
      <c r="Z146" s="8"/>
    </row>
    <row r="147" spans="1:26" ht="12.75" customHeight="1" x14ac:dyDescent="0.25">
      <c r="A147" s="133"/>
      <c r="B147" s="8"/>
      <c r="C147" s="8"/>
      <c r="D147" s="8"/>
      <c r="E147" s="8"/>
      <c r="F147" s="8"/>
      <c r="G147" s="8"/>
      <c r="H147" s="8"/>
      <c r="I147" s="8"/>
      <c r="J147" s="8"/>
      <c r="K147" s="8"/>
      <c r="L147" s="94"/>
      <c r="M147" s="8"/>
      <c r="N147" s="8"/>
      <c r="O147" s="8"/>
      <c r="P147" s="8"/>
      <c r="Q147" s="8"/>
      <c r="R147" s="8"/>
      <c r="S147" s="8"/>
      <c r="T147" s="8"/>
      <c r="U147" s="8"/>
      <c r="V147" s="8"/>
      <c r="W147" s="8"/>
      <c r="X147" s="8"/>
      <c r="Y147" s="8"/>
      <c r="Z147" s="8"/>
    </row>
    <row r="148" spans="1:26" ht="12.75" customHeight="1" x14ac:dyDescent="0.25">
      <c r="A148" s="133"/>
      <c r="B148" s="8"/>
      <c r="C148" s="8"/>
      <c r="D148" s="8"/>
      <c r="E148" s="8"/>
      <c r="F148" s="8"/>
      <c r="G148" s="8"/>
      <c r="H148" s="8"/>
      <c r="I148" s="8"/>
      <c r="J148" s="8"/>
      <c r="K148" s="8"/>
      <c r="L148" s="94"/>
      <c r="M148" s="8"/>
      <c r="N148" s="8"/>
      <c r="O148" s="8"/>
      <c r="P148" s="8"/>
      <c r="Q148" s="8"/>
      <c r="R148" s="8"/>
      <c r="S148" s="8"/>
      <c r="T148" s="8"/>
      <c r="U148" s="8"/>
      <c r="V148" s="8"/>
      <c r="W148" s="8"/>
      <c r="X148" s="8"/>
      <c r="Y148" s="8"/>
      <c r="Z148" s="8"/>
    </row>
    <row r="149" spans="1:26" ht="12.75" customHeight="1" x14ac:dyDescent="0.25">
      <c r="A149" s="133"/>
      <c r="B149" s="8"/>
      <c r="C149" s="8"/>
      <c r="D149" s="8"/>
      <c r="E149" s="8"/>
      <c r="F149" s="8"/>
      <c r="G149" s="8"/>
      <c r="H149" s="8"/>
      <c r="I149" s="8"/>
      <c r="J149" s="8"/>
      <c r="K149" s="8"/>
      <c r="L149" s="94"/>
      <c r="M149" s="8"/>
      <c r="N149" s="8"/>
      <c r="O149" s="8"/>
      <c r="P149" s="8"/>
      <c r="Q149" s="8"/>
      <c r="R149" s="8"/>
      <c r="S149" s="8"/>
      <c r="T149" s="8"/>
      <c r="U149" s="8"/>
      <c r="V149" s="8"/>
      <c r="W149" s="8"/>
      <c r="X149" s="8"/>
      <c r="Y149" s="8"/>
      <c r="Z149" s="8"/>
    </row>
    <row r="150" spans="1:26" ht="12.75" customHeight="1" x14ac:dyDescent="0.25">
      <c r="A150" s="133"/>
      <c r="B150" s="8"/>
      <c r="C150" s="8"/>
      <c r="D150" s="8"/>
      <c r="E150" s="8"/>
      <c r="F150" s="8"/>
      <c r="G150" s="8"/>
      <c r="H150" s="8"/>
      <c r="I150" s="8"/>
      <c r="J150" s="8"/>
      <c r="K150" s="8"/>
      <c r="L150" s="94"/>
      <c r="M150" s="8"/>
      <c r="N150" s="8"/>
      <c r="O150" s="8"/>
      <c r="P150" s="8"/>
      <c r="Q150" s="8"/>
      <c r="R150" s="8"/>
      <c r="S150" s="8"/>
      <c r="T150" s="8"/>
      <c r="U150" s="8"/>
      <c r="V150" s="8"/>
      <c r="W150" s="8"/>
      <c r="X150" s="8"/>
      <c r="Y150" s="8"/>
      <c r="Z150" s="8"/>
    </row>
    <row r="151" spans="1:26" ht="12.75" customHeight="1" x14ac:dyDescent="0.25">
      <c r="A151" s="133"/>
      <c r="B151" s="8"/>
      <c r="C151" s="8"/>
      <c r="D151" s="8"/>
      <c r="E151" s="8"/>
      <c r="F151" s="8"/>
      <c r="G151" s="8"/>
      <c r="H151" s="8"/>
      <c r="I151" s="8"/>
      <c r="J151" s="8"/>
      <c r="K151" s="8"/>
      <c r="L151" s="94"/>
      <c r="M151" s="8"/>
      <c r="N151" s="8"/>
      <c r="O151" s="8"/>
      <c r="P151" s="8"/>
      <c r="Q151" s="8"/>
      <c r="R151" s="8"/>
      <c r="S151" s="8"/>
      <c r="T151" s="8"/>
      <c r="U151" s="8"/>
      <c r="V151" s="8"/>
      <c r="W151" s="8"/>
      <c r="X151" s="8"/>
      <c r="Y151" s="8"/>
      <c r="Z151" s="8"/>
    </row>
    <row r="152" spans="1:26" ht="12.75" customHeight="1" x14ac:dyDescent="0.25">
      <c r="A152" s="133"/>
      <c r="B152" s="8"/>
      <c r="C152" s="8"/>
      <c r="D152" s="8"/>
      <c r="E152" s="8"/>
      <c r="F152" s="8"/>
      <c r="G152" s="8"/>
      <c r="H152" s="8"/>
      <c r="I152" s="8"/>
      <c r="J152" s="8"/>
      <c r="K152" s="8"/>
      <c r="L152" s="94"/>
      <c r="M152" s="8"/>
      <c r="N152" s="8"/>
      <c r="O152" s="8"/>
      <c r="P152" s="8"/>
      <c r="Q152" s="8"/>
      <c r="R152" s="8"/>
      <c r="S152" s="8"/>
      <c r="T152" s="8"/>
      <c r="U152" s="8"/>
      <c r="V152" s="8"/>
      <c r="W152" s="8"/>
      <c r="X152" s="8"/>
      <c r="Y152" s="8"/>
      <c r="Z152" s="8"/>
    </row>
    <row r="153" spans="1:26" ht="12.75" customHeight="1" x14ac:dyDescent="0.25">
      <c r="A153" s="133"/>
      <c r="B153" s="8"/>
      <c r="C153" s="8"/>
      <c r="D153" s="8"/>
      <c r="E153" s="8"/>
      <c r="F153" s="8"/>
      <c r="G153" s="8"/>
      <c r="H153" s="8"/>
      <c r="I153" s="8"/>
      <c r="J153" s="8"/>
      <c r="K153" s="8"/>
      <c r="L153" s="94"/>
      <c r="M153" s="8"/>
      <c r="N153" s="8"/>
      <c r="O153" s="8"/>
      <c r="P153" s="8"/>
      <c r="Q153" s="8"/>
      <c r="R153" s="8"/>
      <c r="S153" s="8"/>
      <c r="T153" s="8"/>
      <c r="U153" s="8"/>
      <c r="V153" s="8"/>
      <c r="W153" s="8"/>
      <c r="X153" s="8"/>
      <c r="Y153" s="8"/>
      <c r="Z153" s="8"/>
    </row>
    <row r="154" spans="1:26" ht="12.75" customHeight="1" x14ac:dyDescent="0.25">
      <c r="A154" s="133"/>
      <c r="B154" s="8"/>
      <c r="C154" s="8"/>
      <c r="D154" s="8"/>
      <c r="E154" s="8"/>
      <c r="F154" s="8"/>
      <c r="G154" s="8"/>
      <c r="H154" s="8"/>
      <c r="I154" s="8"/>
      <c r="J154" s="8"/>
      <c r="K154" s="8"/>
      <c r="L154" s="94"/>
      <c r="M154" s="8"/>
      <c r="N154" s="8"/>
      <c r="O154" s="8"/>
      <c r="P154" s="8"/>
      <c r="Q154" s="8"/>
      <c r="R154" s="8"/>
      <c r="S154" s="8"/>
      <c r="T154" s="8"/>
      <c r="U154" s="8"/>
      <c r="V154" s="8"/>
      <c r="W154" s="8"/>
      <c r="X154" s="8"/>
      <c r="Y154" s="8"/>
      <c r="Z154" s="8"/>
    </row>
    <row r="155" spans="1:26" ht="12.75" customHeight="1" x14ac:dyDescent="0.25">
      <c r="A155" s="133"/>
      <c r="B155" s="8"/>
      <c r="C155" s="8"/>
      <c r="D155" s="8"/>
      <c r="E155" s="8"/>
      <c r="F155" s="8"/>
      <c r="G155" s="8"/>
      <c r="H155" s="8"/>
      <c r="I155" s="8"/>
      <c r="J155" s="8"/>
      <c r="K155" s="8"/>
      <c r="L155" s="94"/>
      <c r="M155" s="8"/>
      <c r="N155" s="8"/>
      <c r="O155" s="8"/>
      <c r="P155" s="8"/>
      <c r="Q155" s="8"/>
      <c r="R155" s="8"/>
      <c r="S155" s="8"/>
      <c r="T155" s="8"/>
      <c r="U155" s="8"/>
      <c r="V155" s="8"/>
      <c r="W155" s="8"/>
      <c r="X155" s="8"/>
      <c r="Y155" s="8"/>
      <c r="Z155" s="8"/>
    </row>
    <row r="156" spans="1:26" ht="12.75" customHeight="1" x14ac:dyDescent="0.25">
      <c r="A156" s="133"/>
      <c r="B156" s="8"/>
      <c r="C156" s="8"/>
      <c r="D156" s="8"/>
      <c r="E156" s="8"/>
      <c r="F156" s="8"/>
      <c r="G156" s="8"/>
      <c r="H156" s="8"/>
      <c r="I156" s="8"/>
      <c r="J156" s="8"/>
      <c r="K156" s="8"/>
      <c r="L156" s="94"/>
      <c r="M156" s="8"/>
      <c r="N156" s="8"/>
      <c r="O156" s="8"/>
      <c r="P156" s="8"/>
      <c r="Q156" s="8"/>
      <c r="R156" s="8"/>
      <c r="S156" s="8"/>
      <c r="T156" s="8"/>
      <c r="U156" s="8"/>
      <c r="V156" s="8"/>
      <c r="W156" s="8"/>
      <c r="X156" s="8"/>
      <c r="Y156" s="8"/>
      <c r="Z156" s="8"/>
    </row>
    <row r="157" spans="1:26" ht="12.75" customHeight="1" x14ac:dyDescent="0.25">
      <c r="A157" s="133"/>
      <c r="B157" s="8"/>
      <c r="C157" s="8"/>
      <c r="D157" s="8"/>
      <c r="E157" s="8"/>
      <c r="F157" s="8"/>
      <c r="G157" s="8"/>
      <c r="H157" s="8"/>
      <c r="I157" s="8"/>
      <c r="J157" s="8"/>
      <c r="K157" s="8"/>
      <c r="L157" s="94"/>
      <c r="M157" s="8"/>
      <c r="N157" s="8"/>
      <c r="O157" s="8"/>
      <c r="P157" s="8"/>
      <c r="Q157" s="8"/>
      <c r="R157" s="8"/>
      <c r="S157" s="8"/>
      <c r="T157" s="8"/>
      <c r="U157" s="8"/>
      <c r="V157" s="8"/>
      <c r="W157" s="8"/>
      <c r="X157" s="8"/>
      <c r="Y157" s="8"/>
      <c r="Z157" s="8"/>
    </row>
    <row r="158" spans="1:26" ht="12.75" customHeight="1" x14ac:dyDescent="0.25">
      <c r="A158" s="133"/>
      <c r="B158" s="8"/>
      <c r="C158" s="8"/>
      <c r="D158" s="8"/>
      <c r="E158" s="8"/>
      <c r="F158" s="8"/>
      <c r="G158" s="8"/>
      <c r="H158" s="8"/>
      <c r="I158" s="8"/>
      <c r="J158" s="8"/>
      <c r="K158" s="8"/>
      <c r="L158" s="94"/>
      <c r="M158" s="8"/>
      <c r="N158" s="8"/>
      <c r="O158" s="8"/>
      <c r="P158" s="8"/>
      <c r="Q158" s="8"/>
      <c r="R158" s="8"/>
      <c r="S158" s="8"/>
      <c r="T158" s="8"/>
      <c r="U158" s="8"/>
      <c r="V158" s="8"/>
      <c r="W158" s="8"/>
      <c r="X158" s="8"/>
      <c r="Y158" s="8"/>
      <c r="Z158" s="8"/>
    </row>
    <row r="159" spans="1:26" ht="12.75" customHeight="1" x14ac:dyDescent="0.25">
      <c r="A159" s="133"/>
      <c r="B159" s="8"/>
      <c r="C159" s="8"/>
      <c r="D159" s="8"/>
      <c r="E159" s="8"/>
      <c r="F159" s="8"/>
      <c r="G159" s="8"/>
      <c r="H159" s="8"/>
      <c r="I159" s="8"/>
      <c r="J159" s="8"/>
      <c r="K159" s="8"/>
      <c r="L159" s="94"/>
      <c r="M159" s="8"/>
      <c r="N159" s="8"/>
      <c r="O159" s="8"/>
      <c r="P159" s="8"/>
      <c r="Q159" s="8"/>
      <c r="R159" s="8"/>
      <c r="S159" s="8"/>
      <c r="T159" s="8"/>
      <c r="U159" s="8"/>
      <c r="V159" s="8"/>
      <c r="W159" s="8"/>
      <c r="X159" s="8"/>
      <c r="Y159" s="8"/>
      <c r="Z159" s="8"/>
    </row>
    <row r="160" spans="1:26" ht="12.75" customHeight="1" x14ac:dyDescent="0.25">
      <c r="A160" s="133"/>
      <c r="B160" s="8"/>
      <c r="C160" s="8"/>
      <c r="D160" s="8"/>
      <c r="E160" s="8"/>
      <c r="F160" s="8"/>
      <c r="G160" s="8"/>
      <c r="H160" s="8"/>
      <c r="I160" s="8"/>
      <c r="J160" s="8"/>
      <c r="K160" s="8"/>
      <c r="L160" s="94"/>
      <c r="M160" s="8"/>
      <c r="N160" s="8"/>
      <c r="O160" s="8"/>
      <c r="P160" s="8"/>
      <c r="Q160" s="8"/>
      <c r="R160" s="8"/>
      <c r="S160" s="8"/>
      <c r="T160" s="8"/>
      <c r="U160" s="8"/>
      <c r="V160" s="8"/>
      <c r="W160" s="8"/>
      <c r="X160" s="8"/>
      <c r="Y160" s="8"/>
      <c r="Z160" s="8"/>
    </row>
    <row r="161" spans="1:26" ht="12.75" customHeight="1" x14ac:dyDescent="0.25">
      <c r="A161" s="133"/>
      <c r="B161" s="8"/>
      <c r="C161" s="8"/>
      <c r="D161" s="8"/>
      <c r="E161" s="8"/>
      <c r="F161" s="8"/>
      <c r="G161" s="8"/>
      <c r="H161" s="8"/>
      <c r="I161" s="8"/>
      <c r="J161" s="8"/>
      <c r="K161" s="8"/>
      <c r="L161" s="94"/>
      <c r="M161" s="8"/>
      <c r="N161" s="8"/>
      <c r="O161" s="8"/>
      <c r="P161" s="8"/>
      <c r="Q161" s="8"/>
      <c r="R161" s="8"/>
      <c r="S161" s="8"/>
      <c r="T161" s="8"/>
      <c r="U161" s="8"/>
      <c r="V161" s="8"/>
      <c r="W161" s="8"/>
      <c r="X161" s="8"/>
      <c r="Y161" s="8"/>
      <c r="Z161" s="8"/>
    </row>
    <row r="162" spans="1:26" ht="12.75" customHeight="1" x14ac:dyDescent="0.25">
      <c r="A162" s="133"/>
      <c r="B162" s="8"/>
      <c r="C162" s="8"/>
      <c r="D162" s="8"/>
      <c r="E162" s="8"/>
      <c r="F162" s="8"/>
      <c r="G162" s="8"/>
      <c r="H162" s="8"/>
      <c r="I162" s="8"/>
      <c r="J162" s="8"/>
      <c r="K162" s="8"/>
      <c r="L162" s="94"/>
      <c r="M162" s="8"/>
      <c r="N162" s="8"/>
      <c r="O162" s="8"/>
      <c r="P162" s="8"/>
      <c r="Q162" s="8"/>
      <c r="R162" s="8"/>
      <c r="S162" s="8"/>
      <c r="T162" s="8"/>
      <c r="U162" s="8"/>
      <c r="V162" s="8"/>
      <c r="W162" s="8"/>
      <c r="X162" s="8"/>
      <c r="Y162" s="8"/>
      <c r="Z162" s="8"/>
    </row>
    <row r="163" spans="1:26" ht="12.75" customHeight="1" x14ac:dyDescent="0.25">
      <c r="A163" s="133"/>
      <c r="B163" s="8"/>
      <c r="C163" s="8"/>
      <c r="D163" s="8"/>
      <c r="E163" s="8"/>
      <c r="F163" s="8"/>
      <c r="G163" s="8"/>
      <c r="H163" s="8"/>
      <c r="I163" s="8"/>
      <c r="J163" s="8"/>
      <c r="K163" s="8"/>
      <c r="L163" s="94"/>
      <c r="M163" s="8"/>
      <c r="N163" s="8"/>
      <c r="O163" s="8"/>
      <c r="P163" s="8"/>
      <c r="Q163" s="8"/>
      <c r="R163" s="8"/>
      <c r="S163" s="8"/>
      <c r="T163" s="8"/>
      <c r="U163" s="8"/>
      <c r="V163" s="8"/>
      <c r="W163" s="8"/>
      <c r="X163" s="8"/>
      <c r="Y163" s="8"/>
      <c r="Z163" s="8"/>
    </row>
    <row r="164" spans="1:26" ht="12.75" customHeight="1" x14ac:dyDescent="0.25">
      <c r="A164" s="133"/>
      <c r="B164" s="8"/>
      <c r="C164" s="8"/>
      <c r="D164" s="8"/>
      <c r="E164" s="8"/>
      <c r="F164" s="8"/>
      <c r="G164" s="8"/>
      <c r="H164" s="8"/>
      <c r="I164" s="8"/>
      <c r="J164" s="8"/>
      <c r="K164" s="8"/>
      <c r="L164" s="94"/>
      <c r="M164" s="8"/>
      <c r="N164" s="8"/>
      <c r="O164" s="8"/>
      <c r="P164" s="8"/>
      <c r="Q164" s="8"/>
      <c r="R164" s="8"/>
      <c r="S164" s="8"/>
      <c r="T164" s="8"/>
      <c r="U164" s="8"/>
      <c r="V164" s="8"/>
      <c r="W164" s="8"/>
      <c r="X164" s="8"/>
      <c r="Y164" s="8"/>
      <c r="Z164" s="8"/>
    </row>
    <row r="165" spans="1:26" ht="12.75" customHeight="1" x14ac:dyDescent="0.25">
      <c r="A165" s="133"/>
      <c r="B165" s="8"/>
      <c r="C165" s="8"/>
      <c r="D165" s="8"/>
      <c r="E165" s="8"/>
      <c r="F165" s="8"/>
      <c r="G165" s="8"/>
      <c r="H165" s="8"/>
      <c r="I165" s="8"/>
      <c r="J165" s="8"/>
      <c r="K165" s="8"/>
      <c r="L165" s="94"/>
      <c r="M165" s="8"/>
      <c r="N165" s="8"/>
      <c r="O165" s="8"/>
      <c r="P165" s="8"/>
      <c r="Q165" s="8"/>
      <c r="R165" s="8"/>
      <c r="S165" s="8"/>
      <c r="T165" s="8"/>
      <c r="U165" s="8"/>
      <c r="V165" s="8"/>
      <c r="W165" s="8"/>
      <c r="X165" s="8"/>
      <c r="Y165" s="8"/>
      <c r="Z165" s="8"/>
    </row>
    <row r="166" spans="1:26" ht="12.75" customHeight="1" x14ac:dyDescent="0.25">
      <c r="A166" s="133"/>
      <c r="B166" s="8"/>
      <c r="C166" s="8"/>
      <c r="D166" s="8"/>
      <c r="E166" s="8"/>
      <c r="F166" s="8"/>
      <c r="G166" s="8"/>
      <c r="H166" s="8"/>
      <c r="I166" s="8"/>
      <c r="J166" s="8"/>
      <c r="K166" s="8"/>
      <c r="L166" s="94"/>
      <c r="M166" s="8"/>
      <c r="N166" s="8"/>
      <c r="O166" s="8"/>
      <c r="P166" s="8"/>
      <c r="Q166" s="8"/>
      <c r="R166" s="8"/>
      <c r="S166" s="8"/>
      <c r="T166" s="8"/>
      <c r="U166" s="8"/>
      <c r="V166" s="8"/>
      <c r="W166" s="8"/>
      <c r="X166" s="8"/>
      <c r="Y166" s="8"/>
      <c r="Z166" s="8"/>
    </row>
    <row r="167" spans="1:26" ht="12.75" customHeight="1" x14ac:dyDescent="0.25">
      <c r="A167" s="133"/>
      <c r="B167" s="8"/>
      <c r="C167" s="8"/>
      <c r="D167" s="8"/>
      <c r="E167" s="8"/>
      <c r="F167" s="8"/>
      <c r="G167" s="8"/>
      <c r="H167" s="8"/>
      <c r="I167" s="8"/>
      <c r="J167" s="8"/>
      <c r="K167" s="8"/>
      <c r="L167" s="94"/>
      <c r="M167" s="8"/>
      <c r="N167" s="8"/>
      <c r="O167" s="8"/>
      <c r="P167" s="8"/>
      <c r="Q167" s="8"/>
      <c r="R167" s="8"/>
      <c r="S167" s="8"/>
      <c r="T167" s="8"/>
      <c r="U167" s="8"/>
      <c r="V167" s="8"/>
      <c r="W167" s="8"/>
      <c r="X167" s="8"/>
      <c r="Y167" s="8"/>
      <c r="Z167" s="8"/>
    </row>
    <row r="168" spans="1:26" ht="12.75" customHeight="1" x14ac:dyDescent="0.25">
      <c r="A168" s="133"/>
      <c r="B168" s="8"/>
      <c r="C168" s="8"/>
      <c r="D168" s="8"/>
      <c r="E168" s="8"/>
      <c r="F168" s="8"/>
      <c r="G168" s="8"/>
      <c r="H168" s="8"/>
      <c r="I168" s="8"/>
      <c r="J168" s="8"/>
      <c r="K168" s="8"/>
      <c r="L168" s="94"/>
      <c r="M168" s="8"/>
      <c r="N168" s="8"/>
      <c r="O168" s="8"/>
      <c r="P168" s="8"/>
      <c r="Q168" s="8"/>
      <c r="R168" s="8"/>
      <c r="S168" s="8"/>
      <c r="T168" s="8"/>
      <c r="U168" s="8"/>
      <c r="V168" s="8"/>
      <c r="W168" s="8"/>
      <c r="X168" s="8"/>
      <c r="Y168" s="8"/>
      <c r="Z168" s="8"/>
    </row>
    <row r="169" spans="1:26" ht="12.75" customHeight="1" x14ac:dyDescent="0.25">
      <c r="A169" s="133"/>
      <c r="B169" s="8"/>
      <c r="C169" s="8"/>
      <c r="D169" s="8"/>
      <c r="E169" s="8"/>
      <c r="F169" s="8"/>
      <c r="G169" s="8"/>
      <c r="H169" s="8"/>
      <c r="I169" s="8"/>
      <c r="J169" s="8"/>
      <c r="K169" s="8"/>
      <c r="L169" s="94"/>
      <c r="M169" s="8"/>
      <c r="N169" s="8"/>
      <c r="O169" s="8"/>
      <c r="P169" s="8"/>
      <c r="Q169" s="8"/>
      <c r="R169" s="8"/>
      <c r="S169" s="8"/>
      <c r="T169" s="8"/>
      <c r="U169" s="8"/>
      <c r="V169" s="8"/>
      <c r="W169" s="8"/>
      <c r="X169" s="8"/>
      <c r="Y169" s="8"/>
      <c r="Z169" s="8"/>
    </row>
    <row r="170" spans="1:26" ht="12.75" customHeight="1" x14ac:dyDescent="0.25">
      <c r="A170" s="133"/>
      <c r="B170" s="8"/>
      <c r="C170" s="8"/>
      <c r="D170" s="8"/>
      <c r="E170" s="8"/>
      <c r="F170" s="8"/>
      <c r="G170" s="8"/>
      <c r="H170" s="8"/>
      <c r="I170" s="8"/>
      <c r="J170" s="8"/>
      <c r="K170" s="8"/>
      <c r="L170" s="94"/>
      <c r="M170" s="8"/>
      <c r="N170" s="8"/>
      <c r="O170" s="8"/>
      <c r="P170" s="8"/>
      <c r="Q170" s="8"/>
      <c r="R170" s="8"/>
      <c r="S170" s="8"/>
      <c r="T170" s="8"/>
      <c r="U170" s="8"/>
      <c r="V170" s="8"/>
      <c r="W170" s="8"/>
      <c r="X170" s="8"/>
      <c r="Y170" s="8"/>
      <c r="Z170" s="8"/>
    </row>
    <row r="171" spans="1:26" ht="12.75" customHeight="1" x14ac:dyDescent="0.25">
      <c r="A171" s="133"/>
      <c r="B171" s="8"/>
      <c r="C171" s="8"/>
      <c r="D171" s="8"/>
      <c r="E171" s="8"/>
      <c r="F171" s="8"/>
      <c r="G171" s="8"/>
      <c r="H171" s="8"/>
      <c r="I171" s="8"/>
      <c r="J171" s="8"/>
      <c r="K171" s="8"/>
      <c r="L171" s="94"/>
      <c r="M171" s="8"/>
      <c r="N171" s="8"/>
      <c r="O171" s="8"/>
      <c r="P171" s="8"/>
      <c r="Q171" s="8"/>
      <c r="R171" s="8"/>
      <c r="S171" s="8"/>
      <c r="T171" s="8"/>
      <c r="U171" s="8"/>
      <c r="V171" s="8"/>
      <c r="W171" s="8"/>
      <c r="X171" s="8"/>
      <c r="Y171" s="8"/>
      <c r="Z171" s="8"/>
    </row>
    <row r="172" spans="1:26" ht="12.75" customHeight="1" x14ac:dyDescent="0.25">
      <c r="A172" s="133"/>
      <c r="B172" s="8"/>
      <c r="C172" s="8"/>
      <c r="D172" s="8"/>
      <c r="E172" s="8"/>
      <c r="F172" s="8"/>
      <c r="G172" s="8"/>
      <c r="H172" s="8"/>
      <c r="I172" s="8"/>
      <c r="J172" s="8"/>
      <c r="K172" s="8"/>
      <c r="L172" s="94"/>
      <c r="M172" s="8"/>
      <c r="N172" s="8"/>
      <c r="O172" s="8"/>
      <c r="P172" s="8"/>
      <c r="Q172" s="8"/>
      <c r="R172" s="8"/>
      <c r="S172" s="8"/>
      <c r="T172" s="8"/>
      <c r="U172" s="8"/>
      <c r="V172" s="8"/>
      <c r="W172" s="8"/>
      <c r="X172" s="8"/>
      <c r="Y172" s="8"/>
      <c r="Z172" s="8"/>
    </row>
    <row r="173" spans="1:26" ht="12.75" customHeight="1" x14ac:dyDescent="0.25">
      <c r="A173" s="133"/>
      <c r="B173" s="8"/>
      <c r="C173" s="8"/>
      <c r="D173" s="8"/>
      <c r="E173" s="8"/>
      <c r="F173" s="8"/>
      <c r="G173" s="8"/>
      <c r="H173" s="8"/>
      <c r="I173" s="8"/>
      <c r="J173" s="8"/>
      <c r="K173" s="8"/>
      <c r="L173" s="94"/>
      <c r="M173" s="8"/>
      <c r="N173" s="8"/>
      <c r="O173" s="8"/>
      <c r="P173" s="8"/>
      <c r="Q173" s="8"/>
      <c r="R173" s="8"/>
      <c r="S173" s="8"/>
      <c r="T173" s="8"/>
      <c r="U173" s="8"/>
      <c r="V173" s="8"/>
      <c r="W173" s="8"/>
      <c r="X173" s="8"/>
      <c r="Y173" s="8"/>
      <c r="Z173" s="8"/>
    </row>
    <row r="174" spans="1:26" ht="12.75" customHeight="1" x14ac:dyDescent="0.25">
      <c r="A174" s="133"/>
      <c r="B174" s="8"/>
      <c r="C174" s="8"/>
      <c r="D174" s="8"/>
      <c r="E174" s="8"/>
      <c r="F174" s="8"/>
      <c r="G174" s="8"/>
      <c r="H174" s="8"/>
      <c r="I174" s="8"/>
      <c r="J174" s="8"/>
      <c r="K174" s="8"/>
      <c r="L174" s="94"/>
      <c r="M174" s="8"/>
      <c r="N174" s="8"/>
      <c r="O174" s="8"/>
      <c r="P174" s="8"/>
      <c r="Q174" s="8"/>
      <c r="R174" s="8"/>
      <c r="S174" s="8"/>
      <c r="T174" s="8"/>
      <c r="U174" s="8"/>
      <c r="V174" s="8"/>
      <c r="W174" s="8"/>
      <c r="X174" s="8"/>
      <c r="Y174" s="8"/>
      <c r="Z174" s="8"/>
    </row>
    <row r="175" spans="1:26" ht="12.75" customHeight="1" x14ac:dyDescent="0.25">
      <c r="A175" s="133"/>
      <c r="B175" s="8"/>
      <c r="C175" s="8"/>
      <c r="D175" s="8"/>
      <c r="E175" s="8"/>
      <c r="F175" s="8"/>
      <c r="G175" s="8"/>
      <c r="H175" s="8"/>
      <c r="I175" s="8"/>
      <c r="J175" s="8"/>
      <c r="K175" s="8"/>
      <c r="L175" s="94"/>
      <c r="M175" s="8"/>
      <c r="N175" s="8"/>
      <c r="O175" s="8"/>
      <c r="P175" s="8"/>
      <c r="Q175" s="8"/>
      <c r="R175" s="8"/>
      <c r="S175" s="8"/>
      <c r="T175" s="8"/>
      <c r="U175" s="8"/>
      <c r="V175" s="8"/>
      <c r="W175" s="8"/>
      <c r="X175" s="8"/>
      <c r="Y175" s="8"/>
      <c r="Z175" s="8"/>
    </row>
    <row r="176" spans="1:26" ht="12.75" customHeight="1" x14ac:dyDescent="0.25">
      <c r="A176" s="133"/>
      <c r="B176" s="8"/>
      <c r="C176" s="8"/>
      <c r="D176" s="8"/>
      <c r="E176" s="8"/>
      <c r="F176" s="8"/>
      <c r="G176" s="8"/>
      <c r="H176" s="8"/>
      <c r="I176" s="8"/>
      <c r="J176" s="8"/>
      <c r="K176" s="8"/>
      <c r="L176" s="94"/>
      <c r="M176" s="8"/>
      <c r="N176" s="8"/>
      <c r="O176" s="8"/>
      <c r="P176" s="8"/>
      <c r="Q176" s="8"/>
      <c r="R176" s="8"/>
      <c r="S176" s="8"/>
      <c r="T176" s="8"/>
      <c r="U176" s="8"/>
      <c r="V176" s="8"/>
      <c r="W176" s="8"/>
      <c r="X176" s="8"/>
      <c r="Y176" s="8"/>
      <c r="Z176" s="8"/>
    </row>
    <row r="177" spans="1:26" ht="12.75" customHeight="1" x14ac:dyDescent="0.25">
      <c r="A177" s="133"/>
      <c r="B177" s="8"/>
      <c r="C177" s="8"/>
      <c r="D177" s="8"/>
      <c r="E177" s="8"/>
      <c r="F177" s="8"/>
      <c r="G177" s="8"/>
      <c r="H177" s="8"/>
      <c r="I177" s="8"/>
      <c r="J177" s="8"/>
      <c r="K177" s="8"/>
      <c r="L177" s="94"/>
      <c r="M177" s="8"/>
      <c r="N177" s="8"/>
      <c r="O177" s="8"/>
      <c r="P177" s="8"/>
      <c r="Q177" s="8"/>
      <c r="R177" s="8"/>
      <c r="S177" s="8"/>
      <c r="T177" s="8"/>
      <c r="U177" s="8"/>
      <c r="V177" s="8"/>
      <c r="W177" s="8"/>
      <c r="X177" s="8"/>
      <c r="Y177" s="8"/>
      <c r="Z177" s="8"/>
    </row>
    <row r="178" spans="1:26" ht="12.75" customHeight="1" x14ac:dyDescent="0.25">
      <c r="A178" s="133"/>
      <c r="B178" s="8"/>
      <c r="C178" s="8"/>
      <c r="D178" s="8"/>
      <c r="E178" s="8"/>
      <c r="F178" s="8"/>
      <c r="G178" s="8"/>
      <c r="H178" s="8"/>
      <c r="I178" s="8"/>
      <c r="J178" s="8"/>
      <c r="K178" s="8"/>
      <c r="L178" s="94"/>
      <c r="M178" s="8"/>
      <c r="N178" s="8"/>
      <c r="O178" s="8"/>
      <c r="P178" s="8"/>
      <c r="Q178" s="8"/>
      <c r="R178" s="8"/>
      <c r="S178" s="8"/>
      <c r="T178" s="8"/>
      <c r="U178" s="8"/>
      <c r="V178" s="8"/>
      <c r="W178" s="8"/>
      <c r="X178" s="8"/>
      <c r="Y178" s="8"/>
      <c r="Z178" s="8"/>
    </row>
    <row r="179" spans="1:26" ht="12.75" customHeight="1" x14ac:dyDescent="0.25">
      <c r="A179" s="133"/>
      <c r="B179" s="8"/>
      <c r="C179" s="8"/>
      <c r="D179" s="8"/>
      <c r="E179" s="8"/>
      <c r="F179" s="8"/>
      <c r="G179" s="8"/>
      <c r="H179" s="8"/>
      <c r="I179" s="8"/>
      <c r="J179" s="8"/>
      <c r="K179" s="8"/>
      <c r="L179" s="94"/>
      <c r="M179" s="8"/>
      <c r="N179" s="8"/>
      <c r="O179" s="8"/>
      <c r="P179" s="8"/>
      <c r="Q179" s="8"/>
      <c r="R179" s="8"/>
      <c r="S179" s="8"/>
      <c r="T179" s="8"/>
      <c r="U179" s="8"/>
      <c r="V179" s="8"/>
      <c r="W179" s="8"/>
      <c r="X179" s="8"/>
      <c r="Y179" s="8"/>
      <c r="Z179" s="8"/>
    </row>
    <row r="180" spans="1:26" ht="12.75" customHeight="1" x14ac:dyDescent="0.25">
      <c r="A180" s="133"/>
      <c r="B180" s="8"/>
      <c r="C180" s="8"/>
      <c r="D180" s="8"/>
      <c r="E180" s="8"/>
      <c r="F180" s="8"/>
      <c r="G180" s="8"/>
      <c r="H180" s="8"/>
      <c r="I180" s="8"/>
      <c r="J180" s="8"/>
      <c r="K180" s="8"/>
      <c r="L180" s="94"/>
      <c r="M180" s="8"/>
      <c r="N180" s="8"/>
      <c r="O180" s="8"/>
      <c r="P180" s="8"/>
      <c r="Q180" s="8"/>
      <c r="R180" s="8"/>
      <c r="S180" s="8"/>
      <c r="T180" s="8"/>
      <c r="U180" s="8"/>
      <c r="V180" s="8"/>
      <c r="W180" s="8"/>
      <c r="X180" s="8"/>
      <c r="Y180" s="8"/>
      <c r="Z180" s="8"/>
    </row>
    <row r="181" spans="1:26" ht="12.75" customHeight="1" x14ac:dyDescent="0.25">
      <c r="A181" s="133"/>
      <c r="B181" s="8"/>
      <c r="C181" s="8"/>
      <c r="D181" s="8"/>
      <c r="E181" s="8"/>
      <c r="F181" s="8"/>
      <c r="G181" s="8"/>
      <c r="H181" s="8"/>
      <c r="I181" s="8"/>
      <c r="J181" s="8"/>
      <c r="K181" s="8"/>
      <c r="L181" s="94"/>
      <c r="M181" s="8"/>
      <c r="N181" s="8"/>
      <c r="O181" s="8"/>
      <c r="P181" s="8"/>
      <c r="Q181" s="8"/>
      <c r="R181" s="8"/>
      <c r="S181" s="8"/>
      <c r="T181" s="8"/>
      <c r="U181" s="8"/>
      <c r="V181" s="8"/>
      <c r="W181" s="8"/>
      <c r="X181" s="8"/>
      <c r="Y181" s="8"/>
      <c r="Z181" s="8"/>
    </row>
    <row r="182" spans="1:26" ht="12.75" customHeight="1" x14ac:dyDescent="0.25">
      <c r="A182" s="133"/>
      <c r="B182" s="8"/>
      <c r="C182" s="8"/>
      <c r="D182" s="8"/>
      <c r="E182" s="8"/>
      <c r="F182" s="8"/>
      <c r="G182" s="8"/>
      <c r="H182" s="8"/>
      <c r="I182" s="8"/>
      <c r="J182" s="8"/>
      <c r="K182" s="8"/>
      <c r="L182" s="94"/>
      <c r="M182" s="8"/>
      <c r="N182" s="8"/>
      <c r="O182" s="8"/>
      <c r="P182" s="8"/>
      <c r="Q182" s="8"/>
      <c r="R182" s="8"/>
      <c r="S182" s="8"/>
      <c r="T182" s="8"/>
      <c r="U182" s="8"/>
      <c r="V182" s="8"/>
      <c r="W182" s="8"/>
      <c r="X182" s="8"/>
      <c r="Y182" s="8"/>
      <c r="Z182" s="8"/>
    </row>
    <row r="183" spans="1:26" ht="12.75" customHeight="1" x14ac:dyDescent="0.25">
      <c r="A183" s="133"/>
      <c r="B183" s="8"/>
      <c r="C183" s="8"/>
      <c r="D183" s="8"/>
      <c r="E183" s="8"/>
      <c r="F183" s="8"/>
      <c r="G183" s="8"/>
      <c r="H183" s="8"/>
      <c r="I183" s="8"/>
      <c r="J183" s="8"/>
      <c r="K183" s="8"/>
      <c r="L183" s="94"/>
      <c r="M183" s="8"/>
      <c r="N183" s="8"/>
      <c r="O183" s="8"/>
      <c r="P183" s="8"/>
      <c r="Q183" s="8"/>
      <c r="R183" s="8"/>
      <c r="S183" s="8"/>
      <c r="T183" s="8"/>
      <c r="U183" s="8"/>
      <c r="V183" s="8"/>
      <c r="W183" s="8"/>
      <c r="X183" s="8"/>
      <c r="Y183" s="8"/>
      <c r="Z183" s="8"/>
    </row>
    <row r="184" spans="1:26" ht="12.75" customHeight="1" x14ac:dyDescent="0.25">
      <c r="A184" s="133"/>
      <c r="B184" s="8"/>
      <c r="C184" s="8"/>
      <c r="D184" s="8"/>
      <c r="E184" s="8"/>
      <c r="F184" s="8"/>
      <c r="G184" s="8"/>
      <c r="H184" s="8"/>
      <c r="I184" s="8"/>
      <c r="J184" s="8"/>
      <c r="K184" s="8"/>
      <c r="L184" s="94"/>
      <c r="M184" s="8"/>
      <c r="N184" s="8"/>
      <c r="O184" s="8"/>
      <c r="P184" s="8"/>
      <c r="Q184" s="8"/>
      <c r="R184" s="8"/>
      <c r="S184" s="8"/>
      <c r="T184" s="8"/>
      <c r="U184" s="8"/>
      <c r="V184" s="8"/>
      <c r="W184" s="8"/>
      <c r="X184" s="8"/>
      <c r="Y184" s="8"/>
      <c r="Z184" s="8"/>
    </row>
    <row r="185" spans="1:26" ht="12.75" customHeight="1" x14ac:dyDescent="0.25">
      <c r="A185" s="133"/>
      <c r="B185" s="8"/>
      <c r="C185" s="8"/>
      <c r="D185" s="8"/>
      <c r="E185" s="8"/>
      <c r="F185" s="8"/>
      <c r="G185" s="8"/>
      <c r="H185" s="8"/>
      <c r="I185" s="8"/>
      <c r="J185" s="8"/>
      <c r="K185" s="8"/>
      <c r="L185" s="94"/>
      <c r="M185" s="8"/>
      <c r="N185" s="8"/>
      <c r="O185" s="8"/>
      <c r="P185" s="8"/>
      <c r="Q185" s="8"/>
      <c r="R185" s="8"/>
      <c r="S185" s="8"/>
      <c r="T185" s="8"/>
      <c r="U185" s="8"/>
      <c r="V185" s="8"/>
      <c r="W185" s="8"/>
      <c r="X185" s="8"/>
      <c r="Y185" s="8"/>
      <c r="Z185" s="8"/>
    </row>
    <row r="186" spans="1:26" ht="12.75" customHeight="1" x14ac:dyDescent="0.25">
      <c r="A186" s="133"/>
      <c r="B186" s="8"/>
      <c r="C186" s="8"/>
      <c r="D186" s="8"/>
      <c r="E186" s="8"/>
      <c r="F186" s="8"/>
      <c r="G186" s="8"/>
      <c r="H186" s="8"/>
      <c r="I186" s="8"/>
      <c r="J186" s="8"/>
      <c r="K186" s="8"/>
      <c r="L186" s="94"/>
      <c r="M186" s="8"/>
      <c r="N186" s="8"/>
      <c r="O186" s="8"/>
      <c r="P186" s="8"/>
      <c r="Q186" s="8"/>
      <c r="R186" s="8"/>
      <c r="S186" s="8"/>
      <c r="T186" s="8"/>
      <c r="U186" s="8"/>
      <c r="V186" s="8"/>
      <c r="W186" s="8"/>
      <c r="X186" s="8"/>
      <c r="Y186" s="8"/>
      <c r="Z186" s="8"/>
    </row>
    <row r="187" spans="1:26" ht="12.75" customHeight="1" x14ac:dyDescent="0.25">
      <c r="A187" s="133"/>
      <c r="B187" s="8"/>
      <c r="C187" s="8"/>
      <c r="D187" s="8"/>
      <c r="E187" s="8"/>
      <c r="F187" s="8"/>
      <c r="G187" s="8"/>
      <c r="H187" s="8"/>
      <c r="I187" s="8"/>
      <c r="J187" s="8"/>
      <c r="K187" s="8"/>
      <c r="L187" s="94"/>
      <c r="M187" s="8"/>
      <c r="N187" s="8"/>
      <c r="O187" s="8"/>
      <c r="P187" s="8"/>
      <c r="Q187" s="8"/>
      <c r="R187" s="8"/>
      <c r="S187" s="8"/>
      <c r="T187" s="8"/>
      <c r="U187" s="8"/>
      <c r="V187" s="8"/>
      <c r="W187" s="8"/>
      <c r="X187" s="8"/>
      <c r="Y187" s="8"/>
      <c r="Z187" s="8"/>
    </row>
    <row r="188" spans="1:26" ht="12.75" customHeight="1" x14ac:dyDescent="0.25">
      <c r="A188" s="133"/>
      <c r="B188" s="8"/>
      <c r="C188" s="8"/>
      <c r="D188" s="8"/>
      <c r="E188" s="8"/>
      <c r="F188" s="8"/>
      <c r="G188" s="8"/>
      <c r="H188" s="8"/>
      <c r="I188" s="8"/>
      <c r="J188" s="8"/>
      <c r="K188" s="8"/>
      <c r="L188" s="94"/>
      <c r="M188" s="8"/>
      <c r="N188" s="8"/>
      <c r="O188" s="8"/>
      <c r="P188" s="8"/>
      <c r="Q188" s="8"/>
      <c r="R188" s="8"/>
      <c r="S188" s="8"/>
      <c r="T188" s="8"/>
      <c r="U188" s="8"/>
      <c r="V188" s="8"/>
      <c r="W188" s="8"/>
      <c r="X188" s="8"/>
      <c r="Y188" s="8"/>
      <c r="Z188" s="8"/>
    </row>
    <row r="189" spans="1:26" ht="12.75" customHeight="1" x14ac:dyDescent="0.25">
      <c r="A189" s="133"/>
      <c r="B189" s="8"/>
      <c r="C189" s="8"/>
      <c r="D189" s="8"/>
      <c r="E189" s="8"/>
      <c r="F189" s="8"/>
      <c r="G189" s="8"/>
      <c r="H189" s="8"/>
      <c r="I189" s="8"/>
      <c r="J189" s="8"/>
      <c r="K189" s="8"/>
      <c r="L189" s="94"/>
      <c r="M189" s="8"/>
      <c r="N189" s="8"/>
      <c r="O189" s="8"/>
      <c r="P189" s="8"/>
      <c r="Q189" s="8"/>
      <c r="R189" s="8"/>
      <c r="S189" s="8"/>
      <c r="T189" s="8"/>
      <c r="U189" s="8"/>
      <c r="V189" s="8"/>
      <c r="W189" s="8"/>
      <c r="X189" s="8"/>
      <c r="Y189" s="8"/>
      <c r="Z189" s="8"/>
    </row>
    <row r="190" spans="1:26" ht="12.75" customHeight="1" x14ac:dyDescent="0.25">
      <c r="A190" s="133"/>
      <c r="B190" s="8"/>
      <c r="C190" s="8"/>
      <c r="D190" s="8"/>
      <c r="E190" s="8"/>
      <c r="F190" s="8"/>
      <c r="G190" s="8"/>
      <c r="H190" s="8"/>
      <c r="I190" s="8"/>
      <c r="J190" s="8"/>
      <c r="K190" s="8"/>
      <c r="L190" s="94"/>
      <c r="M190" s="8"/>
      <c r="N190" s="8"/>
      <c r="O190" s="8"/>
      <c r="P190" s="8"/>
      <c r="Q190" s="8"/>
      <c r="R190" s="8"/>
      <c r="S190" s="8"/>
      <c r="T190" s="8"/>
      <c r="U190" s="8"/>
      <c r="V190" s="8"/>
      <c r="W190" s="8"/>
      <c r="X190" s="8"/>
      <c r="Y190" s="8"/>
      <c r="Z190" s="8"/>
    </row>
    <row r="191" spans="1:26" ht="12.75" customHeight="1" x14ac:dyDescent="0.25">
      <c r="A191" s="133"/>
      <c r="B191" s="8"/>
      <c r="C191" s="8"/>
      <c r="D191" s="8"/>
      <c r="E191" s="8"/>
      <c r="F191" s="8"/>
      <c r="G191" s="8"/>
      <c r="H191" s="8"/>
      <c r="I191" s="8"/>
      <c r="J191" s="8"/>
      <c r="K191" s="8"/>
      <c r="L191" s="94"/>
      <c r="M191" s="8"/>
      <c r="N191" s="8"/>
      <c r="O191" s="8"/>
      <c r="P191" s="8"/>
      <c r="Q191" s="8"/>
      <c r="R191" s="8"/>
      <c r="S191" s="8"/>
      <c r="T191" s="8"/>
      <c r="U191" s="8"/>
      <c r="V191" s="8"/>
      <c r="W191" s="8"/>
      <c r="X191" s="8"/>
      <c r="Y191" s="8"/>
      <c r="Z191" s="8"/>
    </row>
    <row r="192" spans="1:26" ht="12.75" customHeight="1" x14ac:dyDescent="0.25">
      <c r="A192" s="133"/>
      <c r="B192" s="8"/>
      <c r="C192" s="8"/>
      <c r="D192" s="8"/>
      <c r="E192" s="8"/>
      <c r="F192" s="8"/>
      <c r="G192" s="8"/>
      <c r="H192" s="8"/>
      <c r="I192" s="8"/>
      <c r="J192" s="8"/>
      <c r="K192" s="8"/>
      <c r="L192" s="94"/>
      <c r="M192" s="8"/>
      <c r="N192" s="8"/>
      <c r="O192" s="8"/>
      <c r="P192" s="8"/>
      <c r="Q192" s="8"/>
      <c r="R192" s="8"/>
      <c r="S192" s="8"/>
      <c r="T192" s="8"/>
      <c r="U192" s="8"/>
      <c r="V192" s="8"/>
      <c r="W192" s="8"/>
      <c r="X192" s="8"/>
      <c r="Y192" s="8"/>
      <c r="Z192" s="8"/>
    </row>
    <row r="193" spans="1:26" ht="12.75" customHeight="1" x14ac:dyDescent="0.25">
      <c r="A193" s="133"/>
      <c r="B193" s="8"/>
      <c r="C193" s="8"/>
      <c r="D193" s="8"/>
      <c r="E193" s="8"/>
      <c r="F193" s="8"/>
      <c r="G193" s="8"/>
      <c r="H193" s="8"/>
      <c r="I193" s="8"/>
      <c r="J193" s="8"/>
      <c r="K193" s="8"/>
      <c r="L193" s="94"/>
      <c r="M193" s="8"/>
      <c r="N193" s="8"/>
      <c r="O193" s="8"/>
      <c r="P193" s="8"/>
      <c r="Q193" s="8"/>
      <c r="R193" s="8"/>
      <c r="S193" s="8"/>
      <c r="T193" s="8"/>
      <c r="U193" s="8"/>
      <c r="V193" s="8"/>
      <c r="W193" s="8"/>
      <c r="X193" s="8"/>
      <c r="Y193" s="8"/>
      <c r="Z193" s="8"/>
    </row>
    <row r="194" spans="1:26" ht="12.75" customHeight="1" x14ac:dyDescent="0.25">
      <c r="A194" s="133"/>
      <c r="B194" s="8"/>
      <c r="C194" s="8"/>
      <c r="D194" s="8"/>
      <c r="E194" s="8"/>
      <c r="F194" s="8"/>
      <c r="G194" s="8"/>
      <c r="H194" s="8"/>
      <c r="I194" s="8"/>
      <c r="J194" s="8"/>
      <c r="K194" s="8"/>
      <c r="L194" s="94"/>
      <c r="M194" s="8"/>
      <c r="N194" s="8"/>
      <c r="O194" s="8"/>
      <c r="P194" s="8"/>
      <c r="Q194" s="8"/>
      <c r="R194" s="8"/>
      <c r="S194" s="8"/>
      <c r="T194" s="8"/>
      <c r="U194" s="8"/>
      <c r="V194" s="8"/>
      <c r="W194" s="8"/>
      <c r="X194" s="8"/>
      <c r="Y194" s="8"/>
      <c r="Z194" s="8"/>
    </row>
    <row r="195" spans="1:26" ht="12.75" customHeight="1" x14ac:dyDescent="0.25">
      <c r="A195" s="133"/>
      <c r="B195" s="8"/>
      <c r="C195" s="8"/>
      <c r="D195" s="8"/>
      <c r="E195" s="8"/>
      <c r="F195" s="8"/>
      <c r="G195" s="8"/>
      <c r="H195" s="8"/>
      <c r="I195" s="8"/>
      <c r="J195" s="8"/>
      <c r="K195" s="8"/>
      <c r="L195" s="94"/>
      <c r="M195" s="8"/>
      <c r="N195" s="8"/>
      <c r="O195" s="8"/>
      <c r="P195" s="8"/>
      <c r="Q195" s="8"/>
      <c r="R195" s="8"/>
      <c r="S195" s="8"/>
      <c r="T195" s="8"/>
      <c r="U195" s="8"/>
      <c r="V195" s="8"/>
      <c r="W195" s="8"/>
      <c r="X195" s="8"/>
      <c r="Y195" s="8"/>
      <c r="Z195" s="8"/>
    </row>
    <row r="196" spans="1:26" ht="12.75" customHeight="1" x14ac:dyDescent="0.25">
      <c r="A196" s="133"/>
      <c r="B196" s="8"/>
      <c r="C196" s="8"/>
      <c r="D196" s="8"/>
      <c r="E196" s="8"/>
      <c r="F196" s="8"/>
      <c r="G196" s="8"/>
      <c r="H196" s="8"/>
      <c r="I196" s="8"/>
      <c r="J196" s="8"/>
      <c r="K196" s="8"/>
      <c r="L196" s="94"/>
      <c r="M196" s="8"/>
      <c r="N196" s="8"/>
      <c r="O196" s="8"/>
      <c r="P196" s="8"/>
      <c r="Q196" s="8"/>
      <c r="R196" s="8"/>
      <c r="S196" s="8"/>
      <c r="T196" s="8"/>
      <c r="U196" s="8"/>
      <c r="V196" s="8"/>
      <c r="W196" s="8"/>
      <c r="X196" s="8"/>
      <c r="Y196" s="8"/>
      <c r="Z196" s="8"/>
    </row>
    <row r="197" spans="1:26" ht="12.75" customHeight="1" x14ac:dyDescent="0.25">
      <c r="A197" s="133"/>
      <c r="B197" s="8"/>
      <c r="C197" s="8"/>
      <c r="D197" s="8"/>
      <c r="E197" s="8"/>
      <c r="F197" s="8"/>
      <c r="G197" s="8"/>
      <c r="H197" s="8"/>
      <c r="I197" s="8"/>
      <c r="J197" s="8"/>
      <c r="K197" s="8"/>
      <c r="L197" s="94"/>
      <c r="M197" s="8"/>
      <c r="N197" s="8"/>
      <c r="O197" s="8"/>
      <c r="P197" s="8"/>
      <c r="Q197" s="8"/>
      <c r="R197" s="8"/>
      <c r="S197" s="8"/>
      <c r="T197" s="8"/>
      <c r="U197" s="8"/>
      <c r="V197" s="8"/>
      <c r="W197" s="8"/>
      <c r="X197" s="8"/>
      <c r="Y197" s="8"/>
      <c r="Z197" s="8"/>
    </row>
    <row r="198" spans="1:26" ht="12.75" customHeight="1" x14ac:dyDescent="0.25">
      <c r="A198" s="133"/>
      <c r="B198" s="8"/>
      <c r="C198" s="8"/>
      <c r="D198" s="8"/>
      <c r="E198" s="8"/>
      <c r="F198" s="8"/>
      <c r="G198" s="8"/>
      <c r="H198" s="8"/>
      <c r="I198" s="8"/>
      <c r="J198" s="8"/>
      <c r="K198" s="8"/>
      <c r="L198" s="94"/>
      <c r="M198" s="8"/>
      <c r="N198" s="8"/>
      <c r="O198" s="8"/>
      <c r="P198" s="8"/>
      <c r="Q198" s="8"/>
      <c r="R198" s="8"/>
      <c r="S198" s="8"/>
      <c r="T198" s="8"/>
      <c r="U198" s="8"/>
      <c r="V198" s="8"/>
      <c r="W198" s="8"/>
      <c r="X198" s="8"/>
      <c r="Y198" s="8"/>
      <c r="Z198" s="8"/>
    </row>
    <row r="199" spans="1:26" ht="12.75" customHeight="1" x14ac:dyDescent="0.25">
      <c r="A199" s="133"/>
      <c r="B199" s="8"/>
      <c r="C199" s="8"/>
      <c r="D199" s="8"/>
      <c r="E199" s="8"/>
      <c r="F199" s="8"/>
      <c r="G199" s="8"/>
      <c r="H199" s="8"/>
      <c r="I199" s="8"/>
      <c r="J199" s="8"/>
      <c r="K199" s="8"/>
      <c r="L199" s="94"/>
      <c r="M199" s="8"/>
      <c r="N199" s="8"/>
      <c r="O199" s="8"/>
      <c r="P199" s="8"/>
      <c r="Q199" s="8"/>
      <c r="R199" s="8"/>
      <c r="S199" s="8"/>
      <c r="T199" s="8"/>
      <c r="U199" s="8"/>
      <c r="V199" s="8"/>
      <c r="W199" s="8"/>
      <c r="X199" s="8"/>
      <c r="Y199" s="8"/>
      <c r="Z199" s="8"/>
    </row>
    <row r="200" spans="1:26" ht="12.75" customHeight="1" x14ac:dyDescent="0.25">
      <c r="A200" s="133"/>
      <c r="B200" s="8"/>
      <c r="C200" s="8"/>
      <c r="D200" s="8"/>
      <c r="E200" s="8"/>
      <c r="F200" s="8"/>
      <c r="G200" s="8"/>
      <c r="H200" s="8"/>
      <c r="I200" s="8"/>
      <c r="J200" s="8"/>
      <c r="K200" s="8"/>
      <c r="L200" s="94"/>
      <c r="M200" s="8"/>
      <c r="N200" s="8"/>
      <c r="O200" s="8"/>
      <c r="P200" s="8"/>
      <c r="Q200" s="8"/>
      <c r="R200" s="8"/>
      <c r="S200" s="8"/>
      <c r="T200" s="8"/>
      <c r="U200" s="8"/>
      <c r="V200" s="8"/>
      <c r="W200" s="8"/>
      <c r="X200" s="8"/>
      <c r="Y200" s="8"/>
      <c r="Z200" s="8"/>
    </row>
    <row r="201" spans="1:26" ht="12.75" customHeight="1" x14ac:dyDescent="0.25">
      <c r="A201" s="133"/>
      <c r="B201" s="8"/>
      <c r="C201" s="8"/>
      <c r="D201" s="8"/>
      <c r="E201" s="8"/>
      <c r="F201" s="8"/>
      <c r="G201" s="8"/>
      <c r="H201" s="8"/>
      <c r="I201" s="8"/>
      <c r="J201" s="8"/>
      <c r="K201" s="8"/>
      <c r="L201" s="94"/>
      <c r="M201" s="8"/>
      <c r="N201" s="8"/>
      <c r="O201" s="8"/>
      <c r="P201" s="8"/>
      <c r="Q201" s="8"/>
      <c r="R201" s="8"/>
      <c r="S201" s="8"/>
      <c r="T201" s="8"/>
      <c r="U201" s="8"/>
      <c r="V201" s="8"/>
      <c r="W201" s="8"/>
      <c r="X201" s="8"/>
      <c r="Y201" s="8"/>
      <c r="Z201" s="8"/>
    </row>
    <row r="202" spans="1:26" ht="12.75" customHeight="1" x14ac:dyDescent="0.25">
      <c r="A202" s="133"/>
      <c r="B202" s="8"/>
      <c r="C202" s="8"/>
      <c r="D202" s="8"/>
      <c r="E202" s="8"/>
      <c r="F202" s="8"/>
      <c r="G202" s="8"/>
      <c r="H202" s="8"/>
      <c r="I202" s="8"/>
      <c r="J202" s="8"/>
      <c r="K202" s="8"/>
      <c r="L202" s="94"/>
      <c r="M202" s="8"/>
      <c r="N202" s="8"/>
      <c r="O202" s="8"/>
      <c r="P202" s="8"/>
      <c r="Q202" s="8"/>
      <c r="R202" s="8"/>
      <c r="S202" s="8"/>
      <c r="T202" s="8"/>
      <c r="U202" s="8"/>
      <c r="V202" s="8"/>
      <c r="W202" s="8"/>
      <c r="X202" s="8"/>
      <c r="Y202" s="8"/>
      <c r="Z202" s="8"/>
    </row>
    <row r="203" spans="1:26" ht="12.75" customHeight="1" x14ac:dyDescent="0.25">
      <c r="A203" s="133"/>
      <c r="B203" s="8"/>
      <c r="C203" s="8"/>
      <c r="D203" s="8"/>
      <c r="E203" s="8"/>
      <c r="F203" s="8"/>
      <c r="G203" s="8"/>
      <c r="H203" s="8"/>
      <c r="I203" s="8"/>
      <c r="J203" s="8"/>
      <c r="K203" s="8"/>
      <c r="L203" s="94"/>
      <c r="M203" s="8"/>
      <c r="N203" s="8"/>
      <c r="O203" s="8"/>
      <c r="P203" s="8"/>
      <c r="Q203" s="8"/>
      <c r="R203" s="8"/>
      <c r="S203" s="8"/>
      <c r="T203" s="8"/>
      <c r="U203" s="8"/>
      <c r="V203" s="8"/>
      <c r="W203" s="8"/>
      <c r="X203" s="8"/>
      <c r="Y203" s="8"/>
      <c r="Z203" s="8"/>
    </row>
    <row r="204" spans="1:26" ht="12.75" customHeight="1" x14ac:dyDescent="0.25">
      <c r="A204" s="133"/>
      <c r="B204" s="8"/>
      <c r="C204" s="8"/>
      <c r="D204" s="8"/>
      <c r="E204" s="8"/>
      <c r="F204" s="8"/>
      <c r="G204" s="8"/>
      <c r="H204" s="8"/>
      <c r="I204" s="8"/>
      <c r="J204" s="8"/>
      <c r="K204" s="8"/>
      <c r="L204" s="94"/>
      <c r="M204" s="8"/>
      <c r="N204" s="8"/>
      <c r="O204" s="8"/>
      <c r="P204" s="8"/>
      <c r="Q204" s="8"/>
      <c r="R204" s="8"/>
      <c r="S204" s="8"/>
      <c r="T204" s="8"/>
      <c r="U204" s="8"/>
      <c r="V204" s="8"/>
      <c r="W204" s="8"/>
      <c r="X204" s="8"/>
      <c r="Y204" s="8"/>
      <c r="Z204" s="8"/>
    </row>
    <row r="205" spans="1:26" ht="12.75" customHeight="1" x14ac:dyDescent="0.25">
      <c r="A205" s="133"/>
      <c r="B205" s="8"/>
      <c r="C205" s="8"/>
      <c r="D205" s="8"/>
      <c r="E205" s="8"/>
      <c r="F205" s="8"/>
      <c r="G205" s="8"/>
      <c r="H205" s="8"/>
      <c r="I205" s="8"/>
      <c r="J205" s="8"/>
      <c r="K205" s="8"/>
      <c r="L205" s="94"/>
      <c r="M205" s="8"/>
      <c r="N205" s="8"/>
      <c r="O205" s="8"/>
      <c r="P205" s="8"/>
      <c r="Q205" s="8"/>
      <c r="R205" s="8"/>
      <c r="S205" s="8"/>
      <c r="T205" s="8"/>
      <c r="U205" s="8"/>
      <c r="V205" s="8"/>
      <c r="W205" s="8"/>
      <c r="X205" s="8"/>
      <c r="Y205" s="8"/>
      <c r="Z205" s="8"/>
    </row>
    <row r="206" spans="1:26" ht="15.75" customHeight="1" x14ac:dyDescent="0.2"/>
    <row r="207" spans="1:26" ht="15.75" customHeight="1" x14ac:dyDescent="0.2"/>
    <row r="208" spans="1:26"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sheetData>
  <mergeCells count="1">
    <mergeCell ref="B3:E3"/>
  </mergeCells>
  <conditionalFormatting sqref="I9:I18">
    <cfRule type="containsText" dxfId="83" priority="1" operator="containsText" text="&quot;Pass&quot;">
      <formula>NOT(ISERROR(SEARCH(("""Pass"""),(I9))))</formula>
    </cfRule>
    <cfRule type="containsText" dxfId="82" priority="2" operator="containsText" text="&quot;N/A&quot;">
      <formula>NOT(ISERROR(SEARCH(("""N/A"""),(I9))))</formula>
    </cfRule>
    <cfRule type="containsText" dxfId="81" priority="3" operator="containsText" text="&quot;Fail&quot;">
      <formula>NOT(ISERROR(SEARCH(("""Fail"""),(I9))))</formula>
    </cfRule>
    <cfRule type="containsText" dxfId="80" priority="4" operator="containsText" text="&quot;Pass&quot;">
      <formula>NOT(ISERROR(SEARCH(("""Pass"""),(I9))))</formula>
    </cfRule>
    <cfRule type="containsText" dxfId="79" priority="5" operator="containsText" text="&quot;Pass&quot;">
      <formula>NOT(ISERROR(SEARCH(("""Pass"""),(I9))))</formula>
    </cfRule>
    <cfRule type="containsText" dxfId="78" priority="6" operator="containsText" text="&quot;N/A&quot;">
      <formula>NOT(ISERROR(SEARCH(("""N/A"""),(I9))))</formula>
    </cfRule>
    <cfRule type="containsText" dxfId="77" priority="7" operator="containsText" text="&quot;Fail&quot;">
      <formula>NOT(ISERROR(SEARCH(("""Fail"""),(I9))))</formula>
    </cfRule>
    <cfRule type="containsText" dxfId="76" priority="8" operator="containsText" text="&quot;Pass&quot;">
      <formula>NOT(ISERROR(SEARCH(("""Pass"""),(I9))))</formula>
    </cfRule>
    <cfRule type="containsText" dxfId="75" priority="9" operator="containsText" text="Pass">
      <formula>NOT(ISERROR(SEARCH(("Pass"),(I9))))</formula>
    </cfRule>
    <cfRule type="containsText" dxfId="74" priority="10" operator="containsText" text="Fail">
      <formula>NOT(ISERROR(SEARCH(("Fail"),(I9))))</formula>
    </cfRule>
    <cfRule type="containsText" dxfId="73" priority="11" operator="containsText" text="Untested">
      <formula>NOT(ISERROR(SEARCH(("Untested"),(I9))))</formula>
    </cfRule>
  </conditionalFormatting>
  <dataValidations count="4">
    <dataValidation type="list" allowBlank="1" showInputMessage="1" showErrorMessage="1" prompt=" - " sqref="I1:I3 I7:I8 I16:I19 I21:I127" xr:uid="{5ABFA723-0733-48CA-BABE-F067AD4179F9}">
      <formula1>$M$2:$M$6</formula1>
    </dataValidation>
    <dataValidation type="list" allowBlank="1" showInputMessage="1" showErrorMessage="1" prompt=" - " sqref="I9:I15" xr:uid="{84D5D0E9-51F6-4451-9B78-0F180CA4BFB9}">
      <formula1>"Pass,Fail,Untested,N/A"</formula1>
    </dataValidation>
    <dataValidation type="list" allowBlank="1" showInputMessage="1" showErrorMessage="1" sqref="J19" xr:uid="{20ABA8D1-6765-47DC-804A-384F24375626}">
      <formula1>"Untested"</formula1>
    </dataValidation>
    <dataValidation type="list" allowBlank="1" showInputMessage="1" prompt=" - " sqref="I20" xr:uid="{EBD8B2D2-982B-43C6-B653-888F10F59230}">
      <formula1>$M$2:$M$6</formula1>
    </dataValidation>
  </dataValidations>
  <pageMargins left="0.7" right="0.7" top="0.75" bottom="0.75" header="0" footer="0"/>
  <pageSetup orientation="landscape" r:id="rId1"/>
  <headerFooter>
    <oddHeader>&amp;LFacilitate_Test Case\Company&amp;Rv1.0</oddHeader>
    <oddFooter>&amp;L 02ae-BM/PM/HDCV/FSOFT v2/0&amp;CInternal use&amp;R&amp;P/</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5FB6F-69A2-4B4D-AD8A-B35D89D74BCC}">
  <dimension ref="A1:Z1046"/>
  <sheetViews>
    <sheetView zoomScale="58" workbookViewId="0">
      <pane ySplit="8" topLeftCell="A9" activePane="bottomLeft" state="frozen"/>
      <selection pane="bottomLeft" activeCell="H72" sqref="H72"/>
    </sheetView>
  </sheetViews>
  <sheetFormatPr defaultColWidth="12.6640625" defaultRowHeight="15" customHeight="1" x14ac:dyDescent="0.2"/>
  <cols>
    <col min="1" max="1" width="14.33203125" style="134" customWidth="1"/>
    <col min="2" max="2" width="18.5546875" customWidth="1"/>
    <col min="3" max="3" width="16" customWidth="1"/>
    <col min="4" max="4" width="29.109375" customWidth="1"/>
    <col min="5" max="5" width="29.33203125" customWidth="1"/>
    <col min="6" max="6" width="54.6640625" customWidth="1"/>
    <col min="7" max="7" width="40.44140625" customWidth="1"/>
    <col min="8" max="8" width="56.77734375" customWidth="1"/>
    <col min="9" max="9" width="15.109375" customWidth="1"/>
    <col min="10" max="10" width="16.33203125" customWidth="1"/>
    <col min="11" max="11" width="15.88671875" customWidth="1"/>
    <col min="12" max="12" width="20.6640625" customWidth="1"/>
    <col min="13" max="13" width="3.33203125" hidden="1" customWidth="1"/>
    <col min="14" max="14" width="5.77734375" customWidth="1"/>
    <col min="15" max="26" width="10" customWidth="1"/>
  </cols>
  <sheetData>
    <row r="1" spans="1:26" ht="62.4" customHeight="1" thickBot="1" x14ac:dyDescent="0.3">
      <c r="A1" s="124"/>
      <c r="B1" s="55"/>
      <c r="C1" s="55"/>
      <c r="D1" s="56"/>
      <c r="E1" s="56"/>
      <c r="F1" s="56"/>
      <c r="G1" s="56"/>
      <c r="H1" s="56"/>
      <c r="I1" s="36"/>
      <c r="J1" s="57"/>
      <c r="K1" s="36"/>
      <c r="L1" s="58"/>
      <c r="M1" s="59"/>
      <c r="N1" s="59"/>
      <c r="O1" s="59"/>
      <c r="P1" s="59"/>
      <c r="Q1" s="59"/>
      <c r="R1" s="59"/>
      <c r="S1" s="59"/>
      <c r="T1" s="59"/>
      <c r="U1" s="59"/>
      <c r="V1" s="59"/>
      <c r="W1" s="59"/>
      <c r="X1" s="59"/>
      <c r="Y1" s="59"/>
      <c r="Z1" s="59"/>
    </row>
    <row r="2" spans="1:26" ht="70.2" customHeight="1" x14ac:dyDescent="0.25">
      <c r="A2" s="125" t="s">
        <v>31</v>
      </c>
      <c r="B2" s="61" t="s">
        <v>103</v>
      </c>
      <c r="C2" s="62"/>
      <c r="D2" s="63"/>
      <c r="E2" s="64"/>
      <c r="F2" s="65"/>
      <c r="G2" s="66"/>
      <c r="H2" s="67"/>
      <c r="I2" s="67"/>
      <c r="J2" s="36"/>
      <c r="K2" s="36"/>
      <c r="L2" s="58"/>
      <c r="M2" s="59" t="s">
        <v>32</v>
      </c>
      <c r="N2" s="59"/>
      <c r="O2" s="59"/>
      <c r="P2" s="59"/>
      <c r="Q2" s="59"/>
      <c r="R2" s="59"/>
      <c r="S2" s="59"/>
      <c r="T2" s="59"/>
      <c r="U2" s="59"/>
      <c r="V2" s="59"/>
      <c r="W2" s="59"/>
      <c r="X2" s="59"/>
      <c r="Y2" s="59"/>
      <c r="Z2" s="59"/>
    </row>
    <row r="3" spans="1:26" ht="81.599999999999994" customHeight="1" x14ac:dyDescent="0.25">
      <c r="A3" s="126" t="s">
        <v>33</v>
      </c>
      <c r="B3" s="235" t="s">
        <v>572</v>
      </c>
      <c r="C3" s="236"/>
      <c r="D3" s="236"/>
      <c r="E3" s="237"/>
      <c r="F3" s="65"/>
      <c r="G3" s="66"/>
      <c r="H3" s="67"/>
      <c r="I3" s="67"/>
      <c r="J3" s="36"/>
      <c r="K3" s="36"/>
      <c r="L3" s="58"/>
      <c r="M3" s="59" t="s">
        <v>34</v>
      </c>
      <c r="N3" s="59"/>
      <c r="O3" s="59"/>
      <c r="P3" s="59"/>
      <c r="Q3" s="59"/>
      <c r="R3" s="59"/>
      <c r="S3" s="59"/>
      <c r="T3" s="59"/>
      <c r="U3" s="59"/>
      <c r="V3" s="59"/>
      <c r="W3" s="59"/>
      <c r="X3" s="59"/>
      <c r="Y3" s="59"/>
      <c r="Z3" s="59"/>
    </row>
    <row r="4" spans="1:26" ht="63" customHeight="1" x14ac:dyDescent="0.25">
      <c r="A4" s="127" t="s">
        <v>35</v>
      </c>
      <c r="B4" s="70"/>
      <c r="C4" s="71"/>
      <c r="D4" s="71"/>
      <c r="E4" s="72"/>
      <c r="F4" s="67"/>
      <c r="G4" s="73"/>
      <c r="H4" s="67"/>
      <c r="I4" s="67"/>
      <c r="J4" s="36"/>
      <c r="K4" s="36"/>
      <c r="L4" s="58"/>
      <c r="M4" s="74"/>
      <c r="N4" s="59"/>
      <c r="O4" s="59"/>
      <c r="P4" s="59"/>
      <c r="Q4" s="59"/>
      <c r="R4" s="59"/>
      <c r="S4" s="59"/>
      <c r="T4" s="59"/>
      <c r="U4" s="59"/>
      <c r="V4" s="59"/>
      <c r="W4" s="59"/>
      <c r="X4" s="59"/>
      <c r="Y4" s="59"/>
      <c r="Z4" s="59"/>
    </row>
    <row r="5" spans="1:26" ht="94.2" customHeight="1" x14ac:dyDescent="0.25">
      <c r="A5" s="128" t="s">
        <v>32</v>
      </c>
      <c r="B5" s="76" t="s">
        <v>34</v>
      </c>
      <c r="C5" s="76" t="s">
        <v>36</v>
      </c>
      <c r="D5" s="76" t="s">
        <v>37</v>
      </c>
      <c r="E5" s="77" t="s">
        <v>38</v>
      </c>
      <c r="F5" s="59"/>
      <c r="G5" s="78"/>
      <c r="H5" s="78"/>
      <c r="I5" s="78"/>
      <c r="J5" s="79"/>
      <c r="K5" s="79"/>
      <c r="L5" s="80"/>
      <c r="M5" s="59" t="s">
        <v>36</v>
      </c>
      <c r="N5" s="59"/>
      <c r="O5" s="59"/>
      <c r="P5" s="59"/>
      <c r="Q5" s="59"/>
      <c r="R5" s="59"/>
      <c r="S5" s="59"/>
      <c r="T5" s="59"/>
      <c r="U5" s="59"/>
      <c r="V5" s="59"/>
      <c r="W5" s="59"/>
      <c r="X5" s="59"/>
      <c r="Y5" s="59"/>
      <c r="Z5" s="59"/>
    </row>
    <row r="6" spans="1:26" ht="63" customHeight="1" thickBot="1" x14ac:dyDescent="0.3">
      <c r="A6" s="129">
        <f>COUNTIF(I9:I1041,"Pass")</f>
        <v>39</v>
      </c>
      <c r="B6" s="82">
        <f>COUNTIF(I9:I1041, "Fail")</f>
        <v>17</v>
      </c>
      <c r="C6" s="82">
        <f>COUNTIF(I9:I1041, "Untested")</f>
        <v>1</v>
      </c>
      <c r="D6" s="83">
        <f>COUNTIF(H$9:I$1041,"N/A")</f>
        <v>0</v>
      </c>
      <c r="E6" s="84">
        <f>COUNTA(A9:A1045)</f>
        <v>57</v>
      </c>
      <c r="F6" s="59"/>
      <c r="G6" s="85"/>
      <c r="H6" s="85"/>
      <c r="I6" s="86"/>
      <c r="J6" s="79"/>
      <c r="K6" s="79"/>
      <c r="L6" s="80"/>
      <c r="M6" s="59" t="s">
        <v>37</v>
      </c>
      <c r="N6" s="59"/>
      <c r="O6" s="59"/>
      <c r="P6" s="59"/>
      <c r="Q6" s="59"/>
      <c r="R6" s="59"/>
      <c r="S6" s="59"/>
      <c r="T6" s="59"/>
      <c r="U6" s="59"/>
      <c r="V6" s="59"/>
      <c r="W6" s="59"/>
      <c r="X6" s="59"/>
      <c r="Y6" s="59"/>
      <c r="Z6" s="59"/>
    </row>
    <row r="7" spans="1:26" ht="105.6" customHeight="1" x14ac:dyDescent="0.25">
      <c r="A7" s="130"/>
      <c r="B7" s="59"/>
      <c r="C7" s="59"/>
      <c r="D7" s="59"/>
      <c r="E7" s="59"/>
      <c r="F7" s="59"/>
      <c r="G7" s="59"/>
      <c r="H7" s="87"/>
      <c r="I7" s="79"/>
      <c r="J7" s="79"/>
      <c r="K7" s="79"/>
      <c r="L7" s="80"/>
      <c r="M7" s="59"/>
      <c r="N7" s="59"/>
      <c r="O7" s="59"/>
      <c r="P7" s="59"/>
      <c r="Q7" s="59"/>
      <c r="R7" s="59"/>
      <c r="S7" s="59"/>
      <c r="T7" s="59"/>
      <c r="U7" s="59"/>
      <c r="V7" s="59"/>
      <c r="W7" s="59"/>
      <c r="X7" s="59"/>
      <c r="Y7" s="59"/>
      <c r="Z7" s="59"/>
    </row>
    <row r="8" spans="1:26" ht="25.8" customHeight="1" x14ac:dyDescent="0.25">
      <c r="A8" s="214" t="s">
        <v>40</v>
      </c>
      <c r="B8" s="215" t="s">
        <v>41</v>
      </c>
      <c r="C8" s="215" t="s">
        <v>42</v>
      </c>
      <c r="D8" s="215" t="s">
        <v>43</v>
      </c>
      <c r="E8" s="215" t="s">
        <v>44</v>
      </c>
      <c r="F8" s="215" t="s">
        <v>45</v>
      </c>
      <c r="G8" s="215" t="s">
        <v>46</v>
      </c>
      <c r="H8" s="215" t="s">
        <v>47</v>
      </c>
      <c r="I8" s="216" t="s">
        <v>48</v>
      </c>
      <c r="J8" s="216" t="s">
        <v>49</v>
      </c>
      <c r="K8" s="215" t="s">
        <v>50</v>
      </c>
      <c r="L8" s="90"/>
      <c r="M8" s="59"/>
      <c r="N8" s="59"/>
      <c r="O8" s="59"/>
      <c r="P8" s="59"/>
      <c r="Q8" s="59"/>
      <c r="R8" s="59"/>
      <c r="S8" s="59"/>
      <c r="T8" s="59"/>
      <c r="U8" s="59"/>
      <c r="V8" s="59"/>
      <c r="W8" s="59"/>
      <c r="X8" s="59"/>
      <c r="Y8" s="59"/>
      <c r="Z8" s="59"/>
    </row>
    <row r="9" spans="1:26" s="151" customFormat="1" ht="40.200000000000003" customHeight="1" x14ac:dyDescent="0.25">
      <c r="A9" s="217" t="str">
        <f t="shared" ref="A9:A65" si="0">$B$2&amp;"-"&amp;ROW()-8</f>
        <v>Đăng ký tài khoản-1</v>
      </c>
      <c r="B9" s="218" t="s">
        <v>59</v>
      </c>
      <c r="C9" s="218"/>
      <c r="D9" s="218" t="s">
        <v>573</v>
      </c>
      <c r="E9" s="218" t="s">
        <v>574</v>
      </c>
      <c r="F9" s="218" t="s">
        <v>149</v>
      </c>
      <c r="G9" s="218"/>
      <c r="H9" s="219" t="s">
        <v>150</v>
      </c>
      <c r="I9" s="218" t="s">
        <v>32</v>
      </c>
      <c r="J9" s="218"/>
      <c r="K9" s="218"/>
      <c r="L9" s="162"/>
      <c r="M9" s="156"/>
      <c r="N9" s="156"/>
      <c r="O9" s="156"/>
      <c r="P9" s="156"/>
      <c r="Q9" s="156"/>
      <c r="R9" s="156"/>
      <c r="S9" s="156"/>
      <c r="T9" s="156"/>
      <c r="U9" s="156"/>
      <c r="V9" s="156"/>
      <c r="W9" s="156"/>
      <c r="X9" s="156"/>
      <c r="Y9" s="156"/>
      <c r="Z9" s="156"/>
    </row>
    <row r="10" spans="1:26" s="151" customFormat="1" ht="40.200000000000003" customHeight="1" x14ac:dyDescent="0.25">
      <c r="A10" s="217" t="str">
        <f t="shared" si="0"/>
        <v>Đăng ký tài khoản-2</v>
      </c>
      <c r="B10" s="218"/>
      <c r="C10" s="218"/>
      <c r="D10" s="218" t="s">
        <v>504</v>
      </c>
      <c r="E10" s="218" t="s">
        <v>123</v>
      </c>
      <c r="F10" s="218" t="s">
        <v>151</v>
      </c>
      <c r="G10" s="218"/>
      <c r="H10" s="219" t="s">
        <v>421</v>
      </c>
      <c r="I10" s="218" t="s">
        <v>32</v>
      </c>
      <c r="J10" s="218"/>
      <c r="K10" s="218"/>
      <c r="L10" s="149"/>
      <c r="M10" s="150"/>
      <c r="N10" s="150"/>
      <c r="O10" s="150"/>
      <c r="P10" s="150"/>
      <c r="Q10" s="150"/>
      <c r="R10" s="150"/>
      <c r="S10" s="150"/>
      <c r="T10" s="150"/>
      <c r="U10" s="150"/>
      <c r="V10" s="150"/>
      <c r="W10" s="150"/>
      <c r="X10" s="150"/>
      <c r="Y10" s="150"/>
      <c r="Z10" s="150"/>
    </row>
    <row r="11" spans="1:26" s="151" customFormat="1" ht="153.6" customHeight="1" x14ac:dyDescent="0.25">
      <c r="A11" s="217" t="str">
        <f t="shared" si="0"/>
        <v>Đăng ký tài khoản-3</v>
      </c>
      <c r="B11" s="218" t="s">
        <v>60</v>
      </c>
      <c r="C11" s="218"/>
      <c r="D11" s="218" t="s">
        <v>64</v>
      </c>
      <c r="E11" s="218" t="s">
        <v>575</v>
      </c>
      <c r="F11" s="218" t="s">
        <v>65</v>
      </c>
      <c r="G11" s="218"/>
      <c r="H11" s="218" t="s">
        <v>152</v>
      </c>
      <c r="I11" s="218" t="s">
        <v>32</v>
      </c>
      <c r="J11" s="218"/>
      <c r="K11" s="218"/>
      <c r="L11" s="162"/>
      <c r="M11" s="156"/>
      <c r="N11" s="156"/>
      <c r="O11" s="156"/>
      <c r="P11" s="156"/>
      <c r="Q11" s="156"/>
      <c r="R11" s="156"/>
      <c r="S11" s="156"/>
      <c r="T11" s="156"/>
      <c r="U11" s="156"/>
      <c r="V11" s="156"/>
      <c r="W11" s="156"/>
      <c r="X11" s="156"/>
      <c r="Y11" s="156"/>
      <c r="Z11" s="156"/>
    </row>
    <row r="12" spans="1:26" s="151" customFormat="1" ht="55.05" customHeight="1" x14ac:dyDescent="0.25">
      <c r="A12" s="217" t="str">
        <f t="shared" si="0"/>
        <v>Đăng ký tài khoản-4</v>
      </c>
      <c r="B12" s="218"/>
      <c r="C12" s="218"/>
      <c r="D12" s="218" t="s">
        <v>67</v>
      </c>
      <c r="E12" s="218" t="s">
        <v>575</v>
      </c>
      <c r="F12" s="218" t="s">
        <v>153</v>
      </c>
      <c r="G12" s="218"/>
      <c r="H12" s="218" t="s">
        <v>154</v>
      </c>
      <c r="I12" s="218" t="s">
        <v>32</v>
      </c>
      <c r="J12" s="218"/>
      <c r="K12" s="218"/>
      <c r="L12" s="149"/>
      <c r="M12" s="150"/>
      <c r="N12" s="150"/>
      <c r="O12" s="150"/>
      <c r="P12" s="150"/>
      <c r="Q12" s="150"/>
      <c r="R12" s="150"/>
      <c r="S12" s="150"/>
      <c r="T12" s="150"/>
      <c r="U12" s="150"/>
      <c r="V12" s="150"/>
      <c r="W12" s="150"/>
      <c r="X12" s="150"/>
      <c r="Y12" s="150"/>
      <c r="Z12" s="150"/>
    </row>
    <row r="13" spans="1:26" s="151" customFormat="1" ht="55.05" customHeight="1" x14ac:dyDescent="0.25">
      <c r="A13" s="217" t="str">
        <f t="shared" si="0"/>
        <v>Đăng ký tài khoản-5</v>
      </c>
      <c r="B13" s="218"/>
      <c r="C13" s="218"/>
      <c r="D13" s="218" t="s">
        <v>68</v>
      </c>
      <c r="E13" s="218" t="s">
        <v>575</v>
      </c>
      <c r="F13" s="218" t="s">
        <v>155</v>
      </c>
      <c r="G13" s="218"/>
      <c r="H13" s="218" t="s">
        <v>338</v>
      </c>
      <c r="I13" s="218" t="s">
        <v>32</v>
      </c>
      <c r="J13" s="218"/>
      <c r="K13" s="218"/>
      <c r="L13" s="149"/>
      <c r="M13" s="150"/>
      <c r="N13" s="150"/>
      <c r="O13" s="150"/>
      <c r="P13" s="150"/>
      <c r="Q13" s="150"/>
      <c r="R13" s="150"/>
      <c r="S13" s="150"/>
      <c r="T13" s="150"/>
      <c r="U13" s="150"/>
      <c r="V13" s="150"/>
      <c r="W13" s="150"/>
      <c r="X13" s="150"/>
      <c r="Y13" s="150"/>
      <c r="Z13" s="150"/>
    </row>
    <row r="14" spans="1:26" s="151" customFormat="1" ht="55.05" customHeight="1" x14ac:dyDescent="0.25">
      <c r="A14" s="217" t="str">
        <f t="shared" si="0"/>
        <v>Đăng ký tài khoản-6</v>
      </c>
      <c r="B14" s="218"/>
      <c r="C14" s="218"/>
      <c r="D14" s="218" t="s">
        <v>69</v>
      </c>
      <c r="E14" s="218" t="s">
        <v>575</v>
      </c>
      <c r="F14" s="218" t="s">
        <v>303</v>
      </c>
      <c r="G14" s="218"/>
      <c r="H14" s="218" t="s">
        <v>304</v>
      </c>
      <c r="I14" s="218" t="s">
        <v>32</v>
      </c>
      <c r="J14" s="218"/>
      <c r="K14" s="218"/>
      <c r="L14" s="149"/>
      <c r="M14" s="150"/>
      <c r="N14" s="150"/>
      <c r="O14" s="150"/>
      <c r="P14" s="150"/>
      <c r="Q14" s="150"/>
      <c r="R14" s="150"/>
      <c r="S14" s="150"/>
      <c r="T14" s="150"/>
      <c r="U14" s="150"/>
      <c r="V14" s="150"/>
      <c r="W14" s="150"/>
      <c r="X14" s="150"/>
      <c r="Y14" s="150"/>
      <c r="Z14" s="150"/>
    </row>
    <row r="15" spans="1:26" s="151" customFormat="1" ht="119.4" customHeight="1" x14ac:dyDescent="0.25">
      <c r="A15" s="217" t="str">
        <f t="shared" si="0"/>
        <v>Đăng ký tài khoản-7</v>
      </c>
      <c r="B15" s="218" t="s">
        <v>61</v>
      </c>
      <c r="C15" s="218" t="s">
        <v>80</v>
      </c>
      <c r="D15" s="218" t="s">
        <v>81</v>
      </c>
      <c r="E15" s="218" t="s">
        <v>575</v>
      </c>
      <c r="F15" s="218" t="s">
        <v>157</v>
      </c>
      <c r="G15" s="218" t="s">
        <v>576</v>
      </c>
      <c r="H15" s="218" t="s">
        <v>158</v>
      </c>
      <c r="I15" s="218" t="s">
        <v>32</v>
      </c>
      <c r="J15" s="218"/>
      <c r="K15" s="218" t="s">
        <v>590</v>
      </c>
      <c r="L15" s="162"/>
      <c r="M15" s="156"/>
      <c r="N15" s="156"/>
      <c r="O15" s="156"/>
      <c r="P15" s="156"/>
      <c r="Q15" s="156"/>
      <c r="R15" s="156"/>
      <c r="S15" s="156"/>
      <c r="T15" s="156"/>
      <c r="U15" s="156"/>
      <c r="V15" s="156"/>
      <c r="W15" s="156"/>
      <c r="X15" s="156"/>
      <c r="Y15" s="156"/>
      <c r="Z15" s="156"/>
    </row>
    <row r="16" spans="1:26" s="151" customFormat="1" ht="111.6" customHeight="1" x14ac:dyDescent="0.25">
      <c r="A16" s="217" t="str">
        <f t="shared" si="0"/>
        <v>Đăng ký tài khoản-8</v>
      </c>
      <c r="B16" s="218"/>
      <c r="C16" s="218"/>
      <c r="D16" s="218" t="s">
        <v>82</v>
      </c>
      <c r="E16" s="218" t="s">
        <v>575</v>
      </c>
      <c r="F16" s="218" t="s">
        <v>586</v>
      </c>
      <c r="G16" s="218" t="s">
        <v>577</v>
      </c>
      <c r="H16" s="218" t="s">
        <v>591</v>
      </c>
      <c r="I16" s="218" t="s">
        <v>32</v>
      </c>
      <c r="J16" s="218"/>
      <c r="K16" s="218"/>
      <c r="L16" s="162"/>
      <c r="M16" s="156"/>
      <c r="N16" s="156"/>
      <c r="O16" s="156"/>
      <c r="P16" s="156"/>
      <c r="Q16" s="156"/>
      <c r="R16" s="156"/>
      <c r="S16" s="156"/>
      <c r="T16" s="156"/>
      <c r="U16" s="156"/>
      <c r="V16" s="156"/>
      <c r="W16" s="156"/>
      <c r="X16" s="156"/>
      <c r="Y16" s="156"/>
      <c r="Z16" s="156"/>
    </row>
    <row r="17" spans="1:26" s="151" customFormat="1" ht="70.2" customHeight="1" x14ac:dyDescent="0.25">
      <c r="A17" s="217" t="str">
        <f t="shared" si="0"/>
        <v>Đăng ký tài khoản-9</v>
      </c>
      <c r="B17" s="218"/>
      <c r="C17" s="218"/>
      <c r="D17" s="218" t="s">
        <v>83</v>
      </c>
      <c r="E17" s="218" t="s">
        <v>575</v>
      </c>
      <c r="F17" s="218" t="s">
        <v>585</v>
      </c>
      <c r="G17" s="218" t="s">
        <v>578</v>
      </c>
      <c r="H17" s="218" t="s">
        <v>390</v>
      </c>
      <c r="I17" s="218" t="s">
        <v>32</v>
      </c>
      <c r="J17" s="218"/>
      <c r="K17" s="218"/>
      <c r="L17" s="149"/>
      <c r="M17" s="150"/>
      <c r="N17" s="150"/>
      <c r="O17" s="150"/>
      <c r="P17" s="150"/>
      <c r="Q17" s="150"/>
      <c r="R17" s="150"/>
      <c r="S17" s="150"/>
      <c r="T17" s="150"/>
      <c r="U17" s="150"/>
      <c r="V17" s="150"/>
      <c r="W17" s="150"/>
      <c r="X17" s="150"/>
      <c r="Y17" s="150"/>
      <c r="Z17" s="150"/>
    </row>
    <row r="18" spans="1:26" s="151" customFormat="1" ht="70.2" customHeight="1" x14ac:dyDescent="0.25">
      <c r="A18" s="217" t="str">
        <f t="shared" si="0"/>
        <v>Đăng ký tài khoản-10</v>
      </c>
      <c r="B18" s="218"/>
      <c r="C18" s="218"/>
      <c r="D18" s="218" t="s">
        <v>84</v>
      </c>
      <c r="E18" s="218" t="s">
        <v>575</v>
      </c>
      <c r="F18" s="218" t="s">
        <v>587</v>
      </c>
      <c r="G18" s="218" t="s">
        <v>579</v>
      </c>
      <c r="H18" s="218" t="s">
        <v>423</v>
      </c>
      <c r="I18" s="218" t="s">
        <v>32</v>
      </c>
      <c r="J18" s="218"/>
      <c r="K18" s="218"/>
      <c r="L18" s="149"/>
      <c r="M18" s="150"/>
      <c r="N18" s="150"/>
      <c r="O18" s="150"/>
      <c r="P18" s="150"/>
      <c r="Q18" s="150"/>
      <c r="R18" s="150"/>
      <c r="S18" s="150"/>
      <c r="T18" s="150"/>
      <c r="U18" s="150"/>
      <c r="V18" s="150"/>
      <c r="W18" s="150"/>
      <c r="X18" s="150"/>
      <c r="Y18" s="150"/>
      <c r="Z18" s="150"/>
    </row>
    <row r="19" spans="1:26" s="151" customFormat="1" ht="100.2" customHeight="1" x14ac:dyDescent="0.25">
      <c r="A19" s="217" t="str">
        <f t="shared" si="0"/>
        <v>Đăng ký tài khoản-11</v>
      </c>
      <c r="B19" s="218"/>
      <c r="C19" s="218"/>
      <c r="D19" s="218" t="s">
        <v>85</v>
      </c>
      <c r="E19" s="218" t="s">
        <v>575</v>
      </c>
      <c r="F19" s="218" t="s">
        <v>588</v>
      </c>
      <c r="G19" s="218" t="s">
        <v>580</v>
      </c>
      <c r="H19" s="218" t="s">
        <v>593</v>
      </c>
      <c r="I19" s="218" t="s">
        <v>34</v>
      </c>
      <c r="J19" s="218"/>
      <c r="K19" s="218" t="s">
        <v>616</v>
      </c>
      <c r="L19" s="162"/>
      <c r="M19" s="156"/>
      <c r="N19" s="156"/>
      <c r="O19" s="156"/>
      <c r="P19" s="156"/>
      <c r="Q19" s="156"/>
      <c r="R19" s="156"/>
      <c r="S19" s="156"/>
      <c r="T19" s="156"/>
      <c r="U19" s="156"/>
      <c r="V19" s="156"/>
      <c r="W19" s="156"/>
      <c r="X19" s="156"/>
      <c r="Y19" s="156"/>
      <c r="Z19" s="156"/>
    </row>
    <row r="20" spans="1:26" s="151" customFormat="1" ht="103.2" customHeight="1" x14ac:dyDescent="0.25">
      <c r="A20" s="217" t="str">
        <f t="shared" si="0"/>
        <v>Đăng ký tài khoản-12</v>
      </c>
      <c r="B20" s="218"/>
      <c r="C20" s="218"/>
      <c r="D20" s="218" t="s">
        <v>86</v>
      </c>
      <c r="E20" s="218" t="s">
        <v>575</v>
      </c>
      <c r="F20" s="218" t="s">
        <v>589</v>
      </c>
      <c r="G20" s="218" t="s">
        <v>581</v>
      </c>
      <c r="H20" s="218" t="s">
        <v>592</v>
      </c>
      <c r="I20" s="218" t="s">
        <v>34</v>
      </c>
      <c r="J20" s="218"/>
      <c r="K20" s="218" t="s">
        <v>617</v>
      </c>
      <c r="L20" s="149"/>
      <c r="M20" s="150"/>
      <c r="N20" s="150"/>
      <c r="O20" s="150"/>
      <c r="P20" s="150"/>
      <c r="Q20" s="150"/>
      <c r="R20" s="150"/>
      <c r="S20" s="150"/>
      <c r="T20" s="150"/>
      <c r="U20" s="150"/>
      <c r="V20" s="150"/>
      <c r="W20" s="150"/>
      <c r="X20" s="150"/>
      <c r="Y20" s="150"/>
      <c r="Z20" s="150"/>
    </row>
    <row r="21" spans="1:26" s="151" customFormat="1" ht="76.8" customHeight="1" x14ac:dyDescent="0.25">
      <c r="A21" s="217" t="str">
        <f t="shared" si="0"/>
        <v>Đăng ký tài khoản-13</v>
      </c>
      <c r="B21" s="218"/>
      <c r="C21" s="218"/>
      <c r="D21" s="218" t="s">
        <v>88</v>
      </c>
      <c r="E21" s="218" t="s">
        <v>575</v>
      </c>
      <c r="F21" s="218" t="s">
        <v>159</v>
      </c>
      <c r="G21" s="218" t="s">
        <v>582</v>
      </c>
      <c r="H21" s="218" t="s">
        <v>424</v>
      </c>
      <c r="I21" s="218" t="s">
        <v>32</v>
      </c>
      <c r="J21" s="218"/>
      <c r="K21" s="218"/>
      <c r="L21" s="149"/>
      <c r="M21" s="150"/>
      <c r="N21" s="150"/>
      <c r="O21" s="150"/>
      <c r="P21" s="150"/>
      <c r="Q21" s="150"/>
      <c r="R21" s="150"/>
      <c r="S21" s="150"/>
      <c r="T21" s="150"/>
      <c r="U21" s="150"/>
      <c r="V21" s="150"/>
      <c r="W21" s="150"/>
      <c r="X21" s="150"/>
      <c r="Y21" s="150"/>
      <c r="Z21" s="150"/>
    </row>
    <row r="22" spans="1:26" s="151" customFormat="1" ht="108" customHeight="1" x14ac:dyDescent="0.25">
      <c r="A22" s="217" t="str">
        <f t="shared" si="0"/>
        <v>Đăng ký tài khoản-14</v>
      </c>
      <c r="B22" s="218"/>
      <c r="C22" s="218"/>
      <c r="D22" s="218" t="s">
        <v>87</v>
      </c>
      <c r="E22" s="218" t="s">
        <v>575</v>
      </c>
      <c r="F22" s="218" t="s">
        <v>160</v>
      </c>
      <c r="G22" s="218" t="s">
        <v>583</v>
      </c>
      <c r="H22" s="218" t="s">
        <v>594</v>
      </c>
      <c r="I22" s="218" t="s">
        <v>34</v>
      </c>
      <c r="J22" s="218"/>
      <c r="K22" s="218" t="s">
        <v>616</v>
      </c>
      <c r="L22" s="149"/>
      <c r="M22" s="150"/>
      <c r="N22" s="150"/>
      <c r="O22" s="150"/>
      <c r="P22" s="150"/>
      <c r="Q22" s="150"/>
      <c r="R22" s="150"/>
      <c r="S22" s="150"/>
      <c r="T22" s="150"/>
      <c r="U22" s="150"/>
      <c r="V22" s="150"/>
      <c r="W22" s="150"/>
      <c r="X22" s="150"/>
      <c r="Y22" s="150"/>
      <c r="Z22" s="150"/>
    </row>
    <row r="23" spans="1:26" s="151" customFormat="1" ht="115.2" customHeight="1" x14ac:dyDescent="0.25">
      <c r="A23" s="217" t="str">
        <f t="shared" si="0"/>
        <v>Đăng ký tài khoản-15</v>
      </c>
      <c r="B23" s="218"/>
      <c r="C23" s="218"/>
      <c r="D23" s="218" t="s">
        <v>89</v>
      </c>
      <c r="E23" s="218" t="s">
        <v>575</v>
      </c>
      <c r="F23" s="218" t="s">
        <v>161</v>
      </c>
      <c r="G23" s="218" t="s">
        <v>584</v>
      </c>
      <c r="H23" s="218" t="s">
        <v>422</v>
      </c>
      <c r="I23" s="218" t="s">
        <v>32</v>
      </c>
      <c r="J23" s="218"/>
      <c r="K23" s="218"/>
      <c r="L23" s="149"/>
      <c r="M23" s="150"/>
      <c r="N23" s="150"/>
      <c r="O23" s="150"/>
      <c r="P23" s="150"/>
      <c r="Q23" s="150"/>
      <c r="R23" s="150"/>
      <c r="S23" s="150"/>
      <c r="T23" s="150"/>
      <c r="U23" s="150"/>
      <c r="V23" s="150"/>
      <c r="W23" s="150"/>
      <c r="X23" s="150"/>
      <c r="Y23" s="150"/>
      <c r="Z23" s="150"/>
    </row>
    <row r="24" spans="1:26" s="151" customFormat="1" ht="72.599999999999994" customHeight="1" x14ac:dyDescent="0.25">
      <c r="A24" s="217" t="str">
        <f t="shared" si="0"/>
        <v>Đăng ký tài khoản-16</v>
      </c>
      <c r="B24" s="220"/>
      <c r="C24" s="220" t="s">
        <v>90</v>
      </c>
      <c r="D24" s="220" t="s">
        <v>81</v>
      </c>
      <c r="E24" s="218" t="s">
        <v>575</v>
      </c>
      <c r="F24" s="220" t="s">
        <v>162</v>
      </c>
      <c r="G24" s="220" t="s">
        <v>163</v>
      </c>
      <c r="H24" s="218" t="s">
        <v>158</v>
      </c>
      <c r="I24" s="220" t="s">
        <v>32</v>
      </c>
      <c r="J24" s="220"/>
      <c r="K24" s="220"/>
      <c r="L24" s="149"/>
      <c r="M24" s="150"/>
      <c r="N24" s="150"/>
      <c r="O24" s="150"/>
      <c r="P24" s="150"/>
      <c r="Q24" s="150"/>
      <c r="R24" s="150"/>
      <c r="S24" s="150"/>
      <c r="T24" s="150"/>
      <c r="U24" s="150"/>
      <c r="V24" s="150"/>
      <c r="W24" s="150"/>
      <c r="X24" s="150"/>
      <c r="Y24" s="150"/>
      <c r="Z24" s="150"/>
    </row>
    <row r="25" spans="1:26" s="151" customFormat="1" ht="73.8" customHeight="1" x14ac:dyDescent="0.25">
      <c r="A25" s="217" t="str">
        <f t="shared" si="0"/>
        <v>Đăng ký tài khoản-17</v>
      </c>
      <c r="B25" s="220"/>
      <c r="C25" s="220"/>
      <c r="D25" s="220" t="s">
        <v>91</v>
      </c>
      <c r="E25" s="218" t="s">
        <v>575</v>
      </c>
      <c r="F25" s="220" t="s">
        <v>164</v>
      </c>
      <c r="G25" s="220" t="s">
        <v>674</v>
      </c>
      <c r="H25" s="220" t="s">
        <v>595</v>
      </c>
      <c r="I25" s="220" t="s">
        <v>34</v>
      </c>
      <c r="J25" s="220"/>
      <c r="K25" s="218" t="s">
        <v>616</v>
      </c>
      <c r="L25" s="149"/>
      <c r="M25" s="150"/>
      <c r="N25" s="150"/>
      <c r="O25" s="150"/>
      <c r="P25" s="150"/>
      <c r="Q25" s="150"/>
      <c r="R25" s="150"/>
      <c r="S25" s="150"/>
      <c r="T25" s="150"/>
      <c r="U25" s="150"/>
      <c r="V25" s="150"/>
      <c r="W25" s="150"/>
      <c r="X25" s="150"/>
      <c r="Y25" s="150"/>
      <c r="Z25" s="150"/>
    </row>
    <row r="26" spans="1:26" s="151" customFormat="1" ht="75.599999999999994" customHeight="1" x14ac:dyDescent="0.25">
      <c r="A26" s="217" t="str">
        <f t="shared" si="0"/>
        <v>Đăng ký tài khoản-18</v>
      </c>
      <c r="B26" s="220"/>
      <c r="C26" s="220"/>
      <c r="D26" s="220" t="s">
        <v>92</v>
      </c>
      <c r="E26" s="218" t="s">
        <v>575</v>
      </c>
      <c r="F26" s="220" t="s">
        <v>165</v>
      </c>
      <c r="G26" s="220" t="s">
        <v>167</v>
      </c>
      <c r="H26" s="220" t="s">
        <v>595</v>
      </c>
      <c r="I26" s="220" t="s">
        <v>32</v>
      </c>
      <c r="J26" s="220"/>
      <c r="K26" s="220"/>
      <c r="L26" s="149"/>
      <c r="M26" s="150"/>
      <c r="N26" s="150"/>
      <c r="O26" s="150"/>
      <c r="P26" s="150"/>
      <c r="Q26" s="150"/>
      <c r="R26" s="150"/>
      <c r="S26" s="150"/>
      <c r="T26" s="150"/>
      <c r="U26" s="150"/>
      <c r="V26" s="150"/>
      <c r="W26" s="150"/>
      <c r="X26" s="150"/>
      <c r="Y26" s="150"/>
      <c r="Z26" s="150"/>
    </row>
    <row r="27" spans="1:26" s="151" customFormat="1" ht="88.2" customHeight="1" x14ac:dyDescent="0.25">
      <c r="A27" s="217" t="str">
        <f t="shared" si="0"/>
        <v>Đăng ký tài khoản-19</v>
      </c>
      <c r="B27" s="220"/>
      <c r="C27" s="220"/>
      <c r="D27" s="220" t="s">
        <v>391</v>
      </c>
      <c r="E27" s="218" t="s">
        <v>575</v>
      </c>
      <c r="F27" s="220" t="s">
        <v>505</v>
      </c>
      <c r="G27" s="220" t="s">
        <v>506</v>
      </c>
      <c r="H27" s="220" t="s">
        <v>425</v>
      </c>
      <c r="I27" s="220" t="s">
        <v>34</v>
      </c>
      <c r="J27" s="220"/>
      <c r="K27" s="220" t="s">
        <v>392</v>
      </c>
      <c r="L27" s="149"/>
      <c r="M27" s="150"/>
      <c r="N27" s="150"/>
      <c r="O27" s="150"/>
      <c r="P27" s="150"/>
      <c r="Q27" s="150"/>
      <c r="R27" s="150"/>
      <c r="S27" s="150"/>
      <c r="T27" s="150"/>
      <c r="U27" s="150"/>
      <c r="V27" s="150"/>
      <c r="W27" s="150"/>
      <c r="X27" s="150"/>
      <c r="Y27" s="150"/>
      <c r="Z27" s="150"/>
    </row>
    <row r="28" spans="1:26" s="151" customFormat="1" ht="70.2" customHeight="1" x14ac:dyDescent="0.25">
      <c r="A28" s="217" t="str">
        <f t="shared" si="0"/>
        <v>Đăng ký tài khoản-20</v>
      </c>
      <c r="B28" s="220"/>
      <c r="C28" s="220"/>
      <c r="D28" s="220" t="s">
        <v>95</v>
      </c>
      <c r="E28" s="218" t="s">
        <v>575</v>
      </c>
      <c r="F28" s="220" t="s">
        <v>168</v>
      </c>
      <c r="G28" s="220" t="s">
        <v>169</v>
      </c>
      <c r="H28" s="220" t="s">
        <v>425</v>
      </c>
      <c r="I28" s="220" t="s">
        <v>34</v>
      </c>
      <c r="J28" s="220"/>
      <c r="K28" s="218" t="s">
        <v>616</v>
      </c>
      <c r="L28" s="149"/>
      <c r="M28" s="150"/>
      <c r="N28" s="150"/>
      <c r="O28" s="150"/>
      <c r="P28" s="150"/>
      <c r="Q28" s="150"/>
      <c r="R28" s="150"/>
      <c r="S28" s="150"/>
      <c r="T28" s="150"/>
      <c r="U28" s="150"/>
      <c r="V28" s="150"/>
      <c r="W28" s="150"/>
      <c r="X28" s="150"/>
      <c r="Y28" s="150"/>
      <c r="Z28" s="150"/>
    </row>
    <row r="29" spans="1:26" s="151" customFormat="1" ht="77.400000000000006" customHeight="1" x14ac:dyDescent="0.25">
      <c r="A29" s="217" t="str">
        <f t="shared" si="0"/>
        <v>Đăng ký tài khoản-21</v>
      </c>
      <c r="B29" s="220"/>
      <c r="C29" s="220"/>
      <c r="D29" s="220" t="s">
        <v>93</v>
      </c>
      <c r="E29" s="218" t="s">
        <v>575</v>
      </c>
      <c r="F29" s="220" t="s">
        <v>170</v>
      </c>
      <c r="G29" s="220" t="s">
        <v>166</v>
      </c>
      <c r="H29" s="220" t="s">
        <v>596</v>
      </c>
      <c r="I29" s="220" t="s">
        <v>32</v>
      </c>
      <c r="J29" s="220"/>
      <c r="K29" s="218"/>
      <c r="L29" s="149"/>
      <c r="M29" s="150"/>
      <c r="N29" s="150"/>
      <c r="O29" s="150"/>
      <c r="P29" s="150"/>
      <c r="Q29" s="150"/>
      <c r="R29" s="150"/>
      <c r="S29" s="150"/>
      <c r="T29" s="150"/>
      <c r="U29" s="150"/>
      <c r="V29" s="150"/>
      <c r="W29" s="150"/>
      <c r="X29" s="150"/>
      <c r="Y29" s="150"/>
      <c r="Z29" s="150"/>
    </row>
    <row r="30" spans="1:26" s="151" customFormat="1" ht="74.400000000000006" customHeight="1" x14ac:dyDescent="0.25">
      <c r="A30" s="217" t="str">
        <f t="shared" si="0"/>
        <v>Đăng ký tài khoản-22</v>
      </c>
      <c r="B30" s="220"/>
      <c r="C30" s="220"/>
      <c r="D30" s="220" t="s">
        <v>94</v>
      </c>
      <c r="E30" s="218" t="s">
        <v>575</v>
      </c>
      <c r="F30" s="220" t="s">
        <v>171</v>
      </c>
      <c r="G30" s="220" t="s">
        <v>172</v>
      </c>
      <c r="H30" s="220" t="s">
        <v>425</v>
      </c>
      <c r="I30" s="220" t="s">
        <v>34</v>
      </c>
      <c r="J30" s="220"/>
      <c r="K30" s="218" t="s">
        <v>616</v>
      </c>
      <c r="L30" s="149"/>
      <c r="M30" s="150"/>
      <c r="N30" s="150"/>
      <c r="O30" s="150"/>
      <c r="P30" s="150"/>
      <c r="Q30" s="150"/>
      <c r="R30" s="150"/>
      <c r="S30" s="150"/>
      <c r="T30" s="150"/>
      <c r="U30" s="150"/>
      <c r="V30" s="150"/>
      <c r="W30" s="150"/>
      <c r="X30" s="150"/>
      <c r="Y30" s="150"/>
      <c r="Z30" s="150"/>
    </row>
    <row r="31" spans="1:26" s="151" customFormat="1" ht="69.599999999999994" customHeight="1" x14ac:dyDescent="0.25">
      <c r="A31" s="217" t="str">
        <f t="shared" si="0"/>
        <v>Đăng ký tài khoản-23</v>
      </c>
      <c r="B31" s="220"/>
      <c r="C31" s="220" t="s">
        <v>63</v>
      </c>
      <c r="D31" s="220" t="s">
        <v>81</v>
      </c>
      <c r="E31" s="218" t="s">
        <v>575</v>
      </c>
      <c r="F31" s="220" t="s">
        <v>173</v>
      </c>
      <c r="G31" s="220" t="s">
        <v>174</v>
      </c>
      <c r="H31" s="218" t="s">
        <v>158</v>
      </c>
      <c r="I31" s="220" t="s">
        <v>32</v>
      </c>
      <c r="J31" s="220"/>
      <c r="K31" s="220"/>
      <c r="L31" s="149"/>
      <c r="M31" s="150"/>
      <c r="N31" s="150"/>
      <c r="O31" s="150"/>
      <c r="P31" s="150"/>
      <c r="Q31" s="150"/>
      <c r="R31" s="150"/>
      <c r="S31" s="150"/>
      <c r="T31" s="150"/>
      <c r="U31" s="150"/>
      <c r="V31" s="150"/>
      <c r="W31" s="150"/>
      <c r="X31" s="150"/>
      <c r="Y31" s="150"/>
      <c r="Z31" s="150"/>
    </row>
    <row r="32" spans="1:26" s="151" customFormat="1" ht="100.2" customHeight="1" x14ac:dyDescent="0.25">
      <c r="A32" s="217" t="str">
        <f t="shared" si="0"/>
        <v>Đăng ký tài khoản-24</v>
      </c>
      <c r="B32" s="220"/>
      <c r="C32" s="220"/>
      <c r="D32" s="218" t="s">
        <v>393</v>
      </c>
      <c r="E32" s="218" t="s">
        <v>610</v>
      </c>
      <c r="F32" s="220" t="s">
        <v>396</v>
      </c>
      <c r="G32" s="220" t="s">
        <v>394</v>
      </c>
      <c r="H32" s="220" t="s">
        <v>425</v>
      </c>
      <c r="I32" s="220" t="s">
        <v>34</v>
      </c>
      <c r="J32" s="220"/>
      <c r="K32" s="220" t="s">
        <v>597</v>
      </c>
      <c r="L32" s="149"/>
      <c r="M32" s="150"/>
      <c r="N32" s="150"/>
      <c r="O32" s="150"/>
      <c r="P32" s="150"/>
      <c r="Q32" s="150"/>
      <c r="R32" s="150"/>
      <c r="S32" s="150"/>
      <c r="T32" s="150"/>
      <c r="U32" s="150"/>
      <c r="V32" s="150"/>
      <c r="W32" s="150"/>
      <c r="X32" s="150"/>
      <c r="Y32" s="150"/>
      <c r="Z32" s="150"/>
    </row>
    <row r="33" spans="1:26" s="151" customFormat="1" ht="118.2" customHeight="1" x14ac:dyDescent="0.25">
      <c r="A33" s="217" t="str">
        <f t="shared" si="0"/>
        <v>Đăng ký tài khoản-25</v>
      </c>
      <c r="B33" s="220"/>
      <c r="C33" s="220"/>
      <c r="D33" s="218" t="s">
        <v>395</v>
      </c>
      <c r="E33" s="218" t="s">
        <v>610</v>
      </c>
      <c r="F33" s="220" t="s">
        <v>397</v>
      </c>
      <c r="G33" s="220" t="s">
        <v>398</v>
      </c>
      <c r="H33" s="220" t="s">
        <v>425</v>
      </c>
      <c r="I33" s="220" t="s">
        <v>34</v>
      </c>
      <c r="J33" s="220"/>
      <c r="K33" s="218" t="s">
        <v>616</v>
      </c>
      <c r="L33" s="149"/>
      <c r="M33" s="150"/>
      <c r="N33" s="150"/>
      <c r="O33" s="150"/>
      <c r="P33" s="150"/>
      <c r="Q33" s="150"/>
      <c r="R33" s="150"/>
      <c r="S33" s="150"/>
      <c r="T33" s="150"/>
      <c r="U33" s="150"/>
      <c r="V33" s="150"/>
      <c r="W33" s="150"/>
      <c r="X33" s="150"/>
      <c r="Y33" s="150"/>
      <c r="Z33" s="150"/>
    </row>
    <row r="34" spans="1:26" s="151" customFormat="1" ht="118.2" customHeight="1" x14ac:dyDescent="0.25">
      <c r="A34" s="217" t="str">
        <f t="shared" si="0"/>
        <v>Đăng ký tài khoản-26</v>
      </c>
      <c r="B34" s="220"/>
      <c r="C34" s="220"/>
      <c r="D34" s="218" t="s">
        <v>520</v>
      </c>
      <c r="E34" s="218" t="s">
        <v>575</v>
      </c>
      <c r="F34" s="220" t="s">
        <v>521</v>
      </c>
      <c r="G34" s="221" t="s">
        <v>522</v>
      </c>
      <c r="H34" s="220" t="s">
        <v>425</v>
      </c>
      <c r="I34" s="220" t="s">
        <v>34</v>
      </c>
      <c r="J34" s="220"/>
      <c r="K34" s="220" t="s">
        <v>597</v>
      </c>
      <c r="L34" s="149"/>
      <c r="M34" s="150"/>
      <c r="N34" s="150"/>
      <c r="O34" s="150"/>
      <c r="P34" s="150"/>
      <c r="Q34" s="150"/>
      <c r="R34" s="150"/>
      <c r="S34" s="150"/>
      <c r="T34" s="150"/>
      <c r="U34" s="150"/>
      <c r="V34" s="150"/>
      <c r="W34" s="150"/>
      <c r="X34" s="150"/>
      <c r="Y34" s="150"/>
      <c r="Z34" s="150"/>
    </row>
    <row r="35" spans="1:26" s="151" customFormat="1" ht="124.8" customHeight="1" x14ac:dyDescent="0.25">
      <c r="A35" s="217" t="str">
        <f t="shared" si="0"/>
        <v>Đăng ký tài khoản-27</v>
      </c>
      <c r="B35" s="220"/>
      <c r="C35" s="220"/>
      <c r="D35" s="218" t="s">
        <v>615</v>
      </c>
      <c r="E35" s="218" t="s">
        <v>575</v>
      </c>
      <c r="F35" s="220" t="s">
        <v>523</v>
      </c>
      <c r="G35" s="221" t="s">
        <v>524</v>
      </c>
      <c r="H35" s="220" t="s">
        <v>425</v>
      </c>
      <c r="I35" s="220" t="s">
        <v>34</v>
      </c>
      <c r="J35" s="220"/>
      <c r="K35" s="218" t="s">
        <v>616</v>
      </c>
      <c r="L35" s="149"/>
      <c r="M35" s="150"/>
      <c r="N35" s="150"/>
      <c r="O35" s="150"/>
      <c r="P35" s="150"/>
      <c r="Q35" s="150"/>
      <c r="R35" s="150"/>
      <c r="S35" s="150"/>
      <c r="T35" s="150"/>
      <c r="U35" s="150"/>
      <c r="V35" s="150"/>
      <c r="W35" s="150"/>
      <c r="X35" s="150"/>
      <c r="Y35" s="150"/>
      <c r="Z35" s="150"/>
    </row>
    <row r="36" spans="1:26" s="151" customFormat="1" ht="109.8" customHeight="1" x14ac:dyDescent="0.25">
      <c r="A36" s="217" t="str">
        <f t="shared" si="0"/>
        <v>Đăng ký tài khoản-28</v>
      </c>
      <c r="B36" s="220"/>
      <c r="C36" s="220"/>
      <c r="D36" s="218" t="s">
        <v>70</v>
      </c>
      <c r="E36" s="218" t="s">
        <v>610</v>
      </c>
      <c r="F36" s="220" t="s">
        <v>176</v>
      </c>
      <c r="G36" s="220" t="s">
        <v>177</v>
      </c>
      <c r="H36" s="220" t="s">
        <v>435</v>
      </c>
      <c r="I36" s="220" t="s">
        <v>32</v>
      </c>
      <c r="J36" s="220"/>
      <c r="K36" s="220"/>
      <c r="L36" s="149"/>
      <c r="M36" s="150"/>
      <c r="N36" s="150"/>
      <c r="O36" s="150"/>
      <c r="P36" s="150"/>
      <c r="Q36" s="150"/>
      <c r="R36" s="150"/>
      <c r="S36" s="150"/>
      <c r="T36" s="150"/>
      <c r="U36" s="150"/>
      <c r="V36" s="150"/>
      <c r="W36" s="150"/>
      <c r="X36" s="150"/>
      <c r="Y36" s="150"/>
      <c r="Z36" s="150"/>
    </row>
    <row r="37" spans="1:26" s="151" customFormat="1" ht="123" customHeight="1" x14ac:dyDescent="0.25">
      <c r="A37" s="217" t="str">
        <f t="shared" si="0"/>
        <v>Đăng ký tài khoản-29</v>
      </c>
      <c r="B37" s="220"/>
      <c r="C37" s="220" t="s">
        <v>100</v>
      </c>
      <c r="D37" s="220" t="s">
        <v>81</v>
      </c>
      <c r="E37" s="218" t="s">
        <v>575</v>
      </c>
      <c r="F37" s="220" t="s">
        <v>178</v>
      </c>
      <c r="G37" s="220" t="s">
        <v>175</v>
      </c>
      <c r="H37" s="218" t="s">
        <v>158</v>
      </c>
      <c r="I37" s="220" t="s">
        <v>32</v>
      </c>
      <c r="J37" s="220"/>
      <c r="K37" s="220"/>
      <c r="L37" s="149"/>
      <c r="M37" s="150"/>
      <c r="N37" s="150"/>
      <c r="O37" s="150"/>
      <c r="P37" s="150"/>
      <c r="Q37" s="150"/>
      <c r="R37" s="150"/>
      <c r="S37" s="150"/>
      <c r="T37" s="150"/>
      <c r="U37" s="150"/>
      <c r="V37" s="150"/>
      <c r="W37" s="150"/>
      <c r="X37" s="150"/>
      <c r="Y37" s="150"/>
      <c r="Z37" s="150"/>
    </row>
    <row r="38" spans="1:26" s="151" customFormat="1" ht="67.8" customHeight="1" x14ac:dyDescent="0.25">
      <c r="A38" s="217" t="str">
        <f t="shared" si="0"/>
        <v>Đăng ký tài khoản-30</v>
      </c>
      <c r="B38" s="220"/>
      <c r="C38" s="220"/>
      <c r="D38" s="220" t="s">
        <v>179</v>
      </c>
      <c r="E38" s="218" t="s">
        <v>575</v>
      </c>
      <c r="F38" s="220" t="s">
        <v>341</v>
      </c>
      <c r="G38" s="220" t="s">
        <v>180</v>
      </c>
      <c r="H38" s="220" t="s">
        <v>435</v>
      </c>
      <c r="I38" s="220" t="s">
        <v>32</v>
      </c>
      <c r="J38" s="220"/>
      <c r="K38" s="220"/>
      <c r="L38" s="149"/>
      <c r="M38" s="150"/>
      <c r="N38" s="150"/>
      <c r="O38" s="150"/>
      <c r="P38" s="150"/>
      <c r="Q38" s="150"/>
      <c r="R38" s="150"/>
      <c r="S38" s="150"/>
      <c r="T38" s="150"/>
      <c r="U38" s="150"/>
      <c r="V38" s="150"/>
      <c r="W38" s="150"/>
      <c r="X38" s="150"/>
      <c r="Y38" s="150"/>
      <c r="Z38" s="150"/>
    </row>
    <row r="39" spans="1:26" s="151" customFormat="1" ht="72" customHeight="1" x14ac:dyDescent="0.25">
      <c r="A39" s="217" t="str">
        <f t="shared" si="0"/>
        <v>Đăng ký tài khoản-31</v>
      </c>
      <c r="B39" s="220"/>
      <c r="C39" s="220" t="s">
        <v>101</v>
      </c>
      <c r="D39" s="220" t="s">
        <v>81</v>
      </c>
      <c r="E39" s="218" t="s">
        <v>611</v>
      </c>
      <c r="F39" s="220" t="s">
        <v>183</v>
      </c>
      <c r="G39" s="220" t="s">
        <v>184</v>
      </c>
      <c r="H39" s="218" t="s">
        <v>158</v>
      </c>
      <c r="I39" s="220" t="s">
        <v>32</v>
      </c>
      <c r="J39" s="220"/>
      <c r="K39" s="220"/>
      <c r="L39" s="149"/>
      <c r="M39" s="150"/>
      <c r="N39" s="150"/>
      <c r="O39" s="150"/>
      <c r="P39" s="150"/>
      <c r="Q39" s="150"/>
      <c r="R39" s="150"/>
      <c r="S39" s="150"/>
      <c r="T39" s="150"/>
      <c r="U39" s="150"/>
      <c r="V39" s="150"/>
      <c r="W39" s="150"/>
      <c r="X39" s="150"/>
      <c r="Y39" s="150"/>
      <c r="Z39" s="150"/>
    </row>
    <row r="40" spans="1:26" s="151" customFormat="1" ht="74.400000000000006" customHeight="1" x14ac:dyDescent="0.25">
      <c r="A40" s="217" t="str">
        <f t="shared" si="0"/>
        <v>Đăng ký tài khoản-32</v>
      </c>
      <c r="B40" s="220"/>
      <c r="C40" s="220"/>
      <c r="D40" s="220" t="s">
        <v>127</v>
      </c>
      <c r="E40" s="218" t="s">
        <v>611</v>
      </c>
      <c r="F40" s="220" t="s">
        <v>181</v>
      </c>
      <c r="G40" s="220" t="s">
        <v>182</v>
      </c>
      <c r="H40" s="220" t="s">
        <v>340</v>
      </c>
      <c r="I40" s="220" t="s">
        <v>32</v>
      </c>
      <c r="J40" s="220"/>
      <c r="K40" s="220"/>
      <c r="L40" s="149"/>
      <c r="M40" s="150"/>
      <c r="N40" s="150"/>
      <c r="O40" s="150"/>
      <c r="P40" s="150"/>
      <c r="Q40" s="150"/>
      <c r="R40" s="150"/>
      <c r="S40" s="150"/>
      <c r="T40" s="150"/>
      <c r="U40" s="150"/>
      <c r="V40" s="150"/>
      <c r="W40" s="150"/>
      <c r="X40" s="150"/>
      <c r="Y40" s="150"/>
      <c r="Z40" s="150"/>
    </row>
    <row r="41" spans="1:26" s="151" customFormat="1" ht="74.400000000000006" customHeight="1" x14ac:dyDescent="0.25">
      <c r="A41" s="217" t="str">
        <f t="shared" si="0"/>
        <v>Đăng ký tài khoản-33</v>
      </c>
      <c r="B41" s="220"/>
      <c r="C41" s="220"/>
      <c r="D41" s="220" t="s">
        <v>612</v>
      </c>
      <c r="E41" s="218" t="s">
        <v>611</v>
      </c>
      <c r="F41" s="220" t="s">
        <v>613</v>
      </c>
      <c r="G41" s="220" t="s">
        <v>614</v>
      </c>
      <c r="H41" s="220" t="s">
        <v>435</v>
      </c>
      <c r="I41" s="220" t="s">
        <v>32</v>
      </c>
      <c r="J41" s="220"/>
      <c r="K41" s="220"/>
      <c r="L41" s="149"/>
      <c r="M41" s="150"/>
      <c r="N41" s="150"/>
      <c r="O41" s="150"/>
      <c r="P41" s="150"/>
      <c r="Q41" s="150"/>
      <c r="R41" s="150"/>
      <c r="S41" s="150"/>
      <c r="T41" s="150"/>
      <c r="U41" s="150"/>
      <c r="V41" s="150"/>
      <c r="W41" s="150"/>
      <c r="X41" s="150"/>
      <c r="Y41" s="150"/>
      <c r="Z41" s="150"/>
    </row>
    <row r="42" spans="1:26" s="151" customFormat="1" ht="113.4" customHeight="1" x14ac:dyDescent="0.25">
      <c r="A42" s="217" t="str">
        <f t="shared" si="0"/>
        <v>Đăng ký tài khoản-34</v>
      </c>
      <c r="B42" s="220"/>
      <c r="C42" s="220" t="s">
        <v>96</v>
      </c>
      <c r="D42" s="220" t="s">
        <v>81</v>
      </c>
      <c r="E42" s="220" t="s">
        <v>240</v>
      </c>
      <c r="F42" s="220" t="s">
        <v>186</v>
      </c>
      <c r="G42" s="220" t="s">
        <v>187</v>
      </c>
      <c r="H42" s="218" t="s">
        <v>158</v>
      </c>
      <c r="I42" s="220" t="s">
        <v>32</v>
      </c>
      <c r="J42" s="220"/>
      <c r="K42" s="220"/>
      <c r="L42" s="149"/>
      <c r="M42" s="150"/>
      <c r="N42" s="150"/>
      <c r="O42" s="150"/>
      <c r="P42" s="150"/>
      <c r="Q42" s="150"/>
      <c r="R42" s="150"/>
      <c r="S42" s="150"/>
      <c r="T42" s="150"/>
      <c r="U42" s="150"/>
      <c r="V42" s="150"/>
      <c r="W42" s="150"/>
      <c r="X42" s="150"/>
      <c r="Y42" s="150"/>
      <c r="Z42" s="150"/>
    </row>
    <row r="43" spans="1:26" s="151" customFormat="1" ht="114" customHeight="1" x14ac:dyDescent="0.25">
      <c r="A43" s="217" t="str">
        <f t="shared" si="0"/>
        <v>Đăng ký tài khoản-35</v>
      </c>
      <c r="B43" s="220"/>
      <c r="C43" s="220"/>
      <c r="D43" s="218" t="s">
        <v>194</v>
      </c>
      <c r="E43" s="220" t="s">
        <v>240</v>
      </c>
      <c r="F43" s="220" t="s">
        <v>188</v>
      </c>
      <c r="G43" s="220" t="s">
        <v>189</v>
      </c>
      <c r="H43" s="220" t="s">
        <v>598</v>
      </c>
      <c r="I43" s="220" t="s">
        <v>32</v>
      </c>
      <c r="J43" s="220"/>
      <c r="K43" s="218"/>
      <c r="L43" s="149"/>
      <c r="M43" s="150"/>
      <c r="N43" s="150"/>
      <c r="O43" s="150"/>
      <c r="P43" s="150"/>
      <c r="Q43" s="150"/>
      <c r="R43" s="150"/>
      <c r="S43" s="150"/>
      <c r="T43" s="150"/>
      <c r="U43" s="150"/>
      <c r="V43" s="150"/>
      <c r="W43" s="150"/>
      <c r="X43" s="150"/>
      <c r="Y43" s="150"/>
      <c r="Z43" s="150"/>
    </row>
    <row r="44" spans="1:26" s="151" customFormat="1" ht="115.2" customHeight="1" x14ac:dyDescent="0.25">
      <c r="A44" s="217" t="str">
        <f t="shared" si="0"/>
        <v>Đăng ký tài khoản-36</v>
      </c>
      <c r="B44" s="220"/>
      <c r="C44" s="220"/>
      <c r="D44" s="218" t="s">
        <v>195</v>
      </c>
      <c r="E44" s="220" t="s">
        <v>240</v>
      </c>
      <c r="F44" s="220" t="s">
        <v>190</v>
      </c>
      <c r="G44" s="220" t="s">
        <v>191</v>
      </c>
      <c r="H44" s="220" t="s">
        <v>426</v>
      </c>
      <c r="I44" s="220" t="s">
        <v>32</v>
      </c>
      <c r="J44" s="220"/>
      <c r="K44" s="218"/>
      <c r="L44" s="149"/>
      <c r="M44" s="150"/>
      <c r="N44" s="150"/>
      <c r="O44" s="150"/>
      <c r="P44" s="150"/>
      <c r="Q44" s="150"/>
      <c r="R44" s="150"/>
      <c r="S44" s="150"/>
      <c r="T44" s="150"/>
      <c r="U44" s="150"/>
      <c r="V44" s="150"/>
      <c r="W44" s="150"/>
      <c r="X44" s="150"/>
      <c r="Y44" s="150"/>
      <c r="Z44" s="150"/>
    </row>
    <row r="45" spans="1:26" s="151" customFormat="1" ht="118.8" customHeight="1" x14ac:dyDescent="0.25">
      <c r="A45" s="217" t="str">
        <f t="shared" si="0"/>
        <v>Đăng ký tài khoản-37</v>
      </c>
      <c r="B45" s="220"/>
      <c r="C45" s="220"/>
      <c r="D45" s="218" t="s">
        <v>196</v>
      </c>
      <c r="E45" s="220" t="s">
        <v>240</v>
      </c>
      <c r="F45" s="220" t="s">
        <v>192</v>
      </c>
      <c r="G45" s="220" t="s">
        <v>193</v>
      </c>
      <c r="H45" s="220" t="s">
        <v>427</v>
      </c>
      <c r="I45" s="220" t="s">
        <v>32</v>
      </c>
      <c r="J45" s="220"/>
      <c r="K45" s="218"/>
      <c r="L45" s="149"/>
      <c r="M45" s="150"/>
      <c r="N45" s="150"/>
      <c r="O45" s="150"/>
      <c r="P45" s="150"/>
      <c r="Q45" s="150"/>
      <c r="R45" s="150"/>
      <c r="S45" s="150"/>
      <c r="T45" s="150"/>
      <c r="U45" s="150"/>
      <c r="V45" s="150"/>
      <c r="W45" s="150"/>
      <c r="X45" s="150"/>
      <c r="Y45" s="150"/>
      <c r="Z45" s="150"/>
    </row>
    <row r="46" spans="1:26" s="151" customFormat="1" ht="117.6" customHeight="1" x14ac:dyDescent="0.25">
      <c r="A46" s="217" t="str">
        <f t="shared" si="0"/>
        <v>Đăng ký tài khoản-38</v>
      </c>
      <c r="B46" s="220"/>
      <c r="C46" s="220"/>
      <c r="D46" s="218" t="s">
        <v>197</v>
      </c>
      <c r="E46" s="220" t="s">
        <v>240</v>
      </c>
      <c r="F46" s="220" t="s">
        <v>202</v>
      </c>
      <c r="G46" s="220" t="s">
        <v>203</v>
      </c>
      <c r="H46" s="220" t="s">
        <v>599</v>
      </c>
      <c r="I46" s="220" t="s">
        <v>34</v>
      </c>
      <c r="J46" s="220"/>
      <c r="K46" s="218" t="s">
        <v>616</v>
      </c>
      <c r="L46" s="149"/>
      <c r="M46" s="150"/>
      <c r="N46" s="150"/>
      <c r="O46" s="150"/>
      <c r="P46" s="150"/>
      <c r="Q46" s="150"/>
      <c r="R46" s="150"/>
      <c r="S46" s="150"/>
      <c r="T46" s="150"/>
      <c r="U46" s="150"/>
      <c r="V46" s="150"/>
      <c r="W46" s="150"/>
      <c r="X46" s="150"/>
      <c r="Y46" s="150"/>
      <c r="Z46" s="150"/>
    </row>
    <row r="47" spans="1:26" s="151" customFormat="1" ht="120.6" customHeight="1" x14ac:dyDescent="0.25">
      <c r="A47" s="217" t="str">
        <f t="shared" si="0"/>
        <v>Đăng ký tài khoản-39</v>
      </c>
      <c r="B47" s="220"/>
      <c r="C47" s="220"/>
      <c r="D47" s="218" t="s">
        <v>198</v>
      </c>
      <c r="E47" s="220" t="s">
        <v>240</v>
      </c>
      <c r="F47" s="220" t="s">
        <v>204</v>
      </c>
      <c r="G47" s="220" t="s">
        <v>205</v>
      </c>
      <c r="H47" s="220" t="s">
        <v>600</v>
      </c>
      <c r="I47" s="220" t="s">
        <v>34</v>
      </c>
      <c r="J47" s="220"/>
      <c r="K47" s="218" t="s">
        <v>616</v>
      </c>
      <c r="L47" s="149"/>
      <c r="M47" s="150"/>
      <c r="N47" s="150"/>
      <c r="O47" s="150"/>
      <c r="P47" s="150"/>
      <c r="Q47" s="150"/>
      <c r="R47" s="150"/>
      <c r="S47" s="150"/>
      <c r="T47" s="150"/>
      <c r="U47" s="150"/>
      <c r="V47" s="150"/>
      <c r="W47" s="150"/>
      <c r="X47" s="150"/>
      <c r="Y47" s="150"/>
      <c r="Z47" s="150"/>
    </row>
    <row r="48" spans="1:26" s="151" customFormat="1" ht="115.8" customHeight="1" x14ac:dyDescent="0.25">
      <c r="A48" s="217" t="str">
        <f t="shared" si="0"/>
        <v>Đăng ký tài khoản-40</v>
      </c>
      <c r="B48" s="220"/>
      <c r="C48" s="220"/>
      <c r="D48" s="218" t="s">
        <v>199</v>
      </c>
      <c r="E48" s="220" t="s">
        <v>240</v>
      </c>
      <c r="F48" s="220" t="s">
        <v>206</v>
      </c>
      <c r="G48" s="220" t="s">
        <v>207</v>
      </c>
      <c r="H48" s="220" t="s">
        <v>428</v>
      </c>
      <c r="I48" s="220" t="s">
        <v>32</v>
      </c>
      <c r="J48" s="220"/>
      <c r="K48" s="218"/>
      <c r="L48" s="149"/>
      <c r="M48" s="150"/>
      <c r="N48" s="150"/>
      <c r="O48" s="150"/>
      <c r="P48" s="150"/>
      <c r="Q48" s="150"/>
      <c r="R48" s="150"/>
      <c r="S48" s="150"/>
      <c r="T48" s="150"/>
      <c r="U48" s="150"/>
      <c r="V48" s="150"/>
      <c r="W48" s="150"/>
      <c r="X48" s="150"/>
      <c r="Y48" s="150"/>
      <c r="Z48" s="150"/>
    </row>
    <row r="49" spans="1:26" s="151" customFormat="1" ht="130.19999999999999" customHeight="1" x14ac:dyDescent="0.25">
      <c r="A49" s="217" t="str">
        <f t="shared" si="0"/>
        <v>Đăng ký tài khoản-41</v>
      </c>
      <c r="B49" s="220"/>
      <c r="C49" s="220"/>
      <c r="D49" s="218" t="s">
        <v>200</v>
      </c>
      <c r="E49" s="220" t="s">
        <v>240</v>
      </c>
      <c r="F49" s="220" t="s">
        <v>208</v>
      </c>
      <c r="G49" s="220" t="s">
        <v>209</v>
      </c>
      <c r="H49" s="220" t="s">
        <v>601</v>
      </c>
      <c r="I49" s="220" t="s">
        <v>34</v>
      </c>
      <c r="J49" s="220"/>
      <c r="K49" s="218" t="s">
        <v>616</v>
      </c>
      <c r="L49" s="149"/>
      <c r="M49" s="150"/>
      <c r="N49" s="150"/>
      <c r="O49" s="150"/>
      <c r="P49" s="150"/>
      <c r="Q49" s="150"/>
      <c r="R49" s="150"/>
      <c r="S49" s="150"/>
      <c r="T49" s="150"/>
      <c r="U49" s="150"/>
      <c r="V49" s="150"/>
      <c r="W49" s="150"/>
      <c r="X49" s="150"/>
      <c r="Y49" s="150"/>
      <c r="Z49" s="150"/>
    </row>
    <row r="50" spans="1:26" s="151" customFormat="1" ht="87" customHeight="1" x14ac:dyDescent="0.25">
      <c r="A50" s="217" t="str">
        <f t="shared" si="0"/>
        <v>Đăng ký tài khoản-42</v>
      </c>
      <c r="B50" s="220"/>
      <c r="C50" s="220"/>
      <c r="D50" s="218" t="s">
        <v>201</v>
      </c>
      <c r="E50" s="220" t="s">
        <v>240</v>
      </c>
      <c r="F50" s="220" t="s">
        <v>210</v>
      </c>
      <c r="G50" s="220" t="s">
        <v>211</v>
      </c>
      <c r="H50" s="220" t="s">
        <v>429</v>
      </c>
      <c r="I50" s="220" t="s">
        <v>32</v>
      </c>
      <c r="J50" s="220"/>
      <c r="K50" s="218"/>
      <c r="L50" s="149"/>
      <c r="M50" s="150"/>
      <c r="N50" s="150"/>
      <c r="O50" s="150"/>
      <c r="P50" s="150"/>
      <c r="Q50" s="150"/>
      <c r="R50" s="150"/>
      <c r="S50" s="150"/>
      <c r="T50" s="150"/>
      <c r="U50" s="150"/>
      <c r="V50" s="150"/>
      <c r="W50" s="150"/>
      <c r="X50" s="150"/>
      <c r="Y50" s="150"/>
      <c r="Z50" s="150"/>
    </row>
    <row r="51" spans="1:26" s="151" customFormat="1" ht="123.6" customHeight="1" x14ac:dyDescent="0.25">
      <c r="A51" s="217" t="str">
        <f t="shared" si="0"/>
        <v>Đăng ký tài khoản-43</v>
      </c>
      <c r="B51" s="222"/>
      <c r="C51" s="223" t="s">
        <v>97</v>
      </c>
      <c r="D51" s="224" t="s">
        <v>81</v>
      </c>
      <c r="E51" s="220" t="s">
        <v>240</v>
      </c>
      <c r="F51" s="220" t="s">
        <v>212</v>
      </c>
      <c r="G51" s="220" t="s">
        <v>213</v>
      </c>
      <c r="H51" s="218" t="s">
        <v>158</v>
      </c>
      <c r="I51" s="220" t="s">
        <v>32</v>
      </c>
      <c r="J51" s="220"/>
      <c r="K51" s="220"/>
      <c r="L51" s="149"/>
      <c r="M51" s="150"/>
      <c r="N51" s="150"/>
      <c r="O51" s="150"/>
      <c r="P51" s="150"/>
      <c r="Q51" s="150"/>
      <c r="R51" s="150"/>
      <c r="S51" s="150"/>
      <c r="T51" s="150"/>
      <c r="U51" s="150"/>
      <c r="V51" s="150"/>
      <c r="W51" s="150"/>
      <c r="X51" s="150"/>
      <c r="Y51" s="150"/>
      <c r="Z51" s="150"/>
    </row>
    <row r="52" spans="1:26" s="151" customFormat="1" ht="117" customHeight="1" x14ac:dyDescent="0.25">
      <c r="A52" s="217" t="str">
        <f t="shared" si="0"/>
        <v>Đăng ký tài khoản-44</v>
      </c>
      <c r="B52" s="222"/>
      <c r="C52" s="225"/>
      <c r="D52" s="226" t="s">
        <v>214</v>
      </c>
      <c r="E52" s="220" t="s">
        <v>240</v>
      </c>
      <c r="F52" s="220" t="s">
        <v>221</v>
      </c>
      <c r="G52" s="220" t="s">
        <v>225</v>
      </c>
      <c r="H52" s="220" t="s">
        <v>430</v>
      </c>
      <c r="I52" s="220" t="s">
        <v>32</v>
      </c>
      <c r="J52" s="220"/>
      <c r="K52" s="220"/>
      <c r="L52" s="149"/>
      <c r="M52" s="150"/>
      <c r="N52" s="150"/>
      <c r="O52" s="150"/>
      <c r="P52" s="150"/>
      <c r="Q52" s="150"/>
      <c r="R52" s="150"/>
      <c r="S52" s="150"/>
      <c r="T52" s="150"/>
      <c r="U52" s="150"/>
      <c r="V52" s="150"/>
      <c r="W52" s="150"/>
      <c r="X52" s="150"/>
      <c r="Y52" s="150"/>
      <c r="Z52" s="150"/>
    </row>
    <row r="53" spans="1:26" s="151" customFormat="1" ht="75.599999999999994" customHeight="1" x14ac:dyDescent="0.25">
      <c r="A53" s="217" t="str">
        <f t="shared" si="0"/>
        <v>Đăng ký tài khoản-45</v>
      </c>
      <c r="B53" s="222"/>
      <c r="C53" s="225"/>
      <c r="D53" s="227" t="s">
        <v>215</v>
      </c>
      <c r="E53" s="220" t="s">
        <v>240</v>
      </c>
      <c r="F53" s="220" t="s">
        <v>222</v>
      </c>
      <c r="G53" s="220" t="s">
        <v>226</v>
      </c>
      <c r="H53" s="220" t="s">
        <v>431</v>
      </c>
      <c r="I53" s="220" t="s">
        <v>32</v>
      </c>
      <c r="J53" s="220"/>
      <c r="K53" s="220"/>
      <c r="L53" s="149"/>
      <c r="M53" s="150"/>
      <c r="N53" s="150"/>
      <c r="O53" s="150"/>
      <c r="P53" s="150"/>
      <c r="Q53" s="150"/>
      <c r="R53" s="150"/>
      <c r="S53" s="150"/>
      <c r="T53" s="150"/>
      <c r="U53" s="150"/>
      <c r="V53" s="150"/>
      <c r="W53" s="150"/>
      <c r="X53" s="150"/>
      <c r="Y53" s="150"/>
      <c r="Z53" s="150"/>
    </row>
    <row r="54" spans="1:26" s="151" customFormat="1" ht="93.6" customHeight="1" x14ac:dyDescent="0.25">
      <c r="A54" s="217" t="str">
        <f t="shared" si="0"/>
        <v>Đăng ký tài khoản-46</v>
      </c>
      <c r="B54" s="222"/>
      <c r="C54" s="225"/>
      <c r="D54" s="227" t="s">
        <v>216</v>
      </c>
      <c r="E54" s="220" t="s">
        <v>240</v>
      </c>
      <c r="F54" s="220" t="s">
        <v>223</v>
      </c>
      <c r="G54" s="220" t="s">
        <v>224</v>
      </c>
      <c r="H54" s="220" t="s">
        <v>432</v>
      </c>
      <c r="I54" s="220" t="s">
        <v>32</v>
      </c>
      <c r="J54" s="220"/>
      <c r="K54" s="220"/>
      <c r="L54" s="149"/>
      <c r="M54" s="150"/>
      <c r="N54" s="150"/>
      <c r="O54" s="150"/>
      <c r="P54" s="150"/>
      <c r="Q54" s="150"/>
      <c r="R54" s="150"/>
      <c r="S54" s="150"/>
      <c r="T54" s="150"/>
      <c r="U54" s="150"/>
      <c r="V54" s="150"/>
      <c r="W54" s="150"/>
      <c r="X54" s="150"/>
      <c r="Y54" s="150"/>
      <c r="Z54" s="150"/>
    </row>
    <row r="55" spans="1:26" s="151" customFormat="1" ht="95.4" customHeight="1" x14ac:dyDescent="0.25">
      <c r="A55" s="217" t="str">
        <f t="shared" si="0"/>
        <v>Đăng ký tài khoản-47</v>
      </c>
      <c r="B55" s="222"/>
      <c r="C55" s="225"/>
      <c r="D55" s="227" t="s">
        <v>217</v>
      </c>
      <c r="E55" s="220" t="s">
        <v>240</v>
      </c>
      <c r="F55" s="220" t="s">
        <v>227</v>
      </c>
      <c r="G55" s="220" t="s">
        <v>228</v>
      </c>
      <c r="H55" s="220" t="s">
        <v>602</v>
      </c>
      <c r="I55" s="220" t="s">
        <v>34</v>
      </c>
      <c r="J55" s="220"/>
      <c r="K55" s="218" t="s">
        <v>616</v>
      </c>
      <c r="L55" s="149"/>
      <c r="M55" s="150"/>
      <c r="N55" s="150"/>
      <c r="O55" s="150"/>
      <c r="P55" s="150"/>
      <c r="Q55" s="150"/>
      <c r="R55" s="150"/>
      <c r="S55" s="150"/>
      <c r="T55" s="150"/>
      <c r="U55" s="150"/>
      <c r="V55" s="150"/>
      <c r="W55" s="150"/>
      <c r="X55" s="150"/>
      <c r="Y55" s="150"/>
      <c r="Z55" s="150"/>
    </row>
    <row r="56" spans="1:26" s="151" customFormat="1" ht="88.2" customHeight="1" x14ac:dyDescent="0.25">
      <c r="A56" s="217" t="str">
        <f t="shared" si="0"/>
        <v>Đăng ký tài khoản-48</v>
      </c>
      <c r="B56" s="222"/>
      <c r="C56" s="225"/>
      <c r="D56" s="227" t="s">
        <v>218</v>
      </c>
      <c r="E56" s="220" t="s">
        <v>240</v>
      </c>
      <c r="F56" s="220" t="s">
        <v>229</v>
      </c>
      <c r="G56" s="220" t="s">
        <v>230</v>
      </c>
      <c r="H56" s="220" t="s">
        <v>603</v>
      </c>
      <c r="I56" s="220" t="s">
        <v>34</v>
      </c>
      <c r="J56" s="220"/>
      <c r="K56" s="218" t="s">
        <v>616</v>
      </c>
      <c r="L56" s="149"/>
      <c r="M56" s="150"/>
      <c r="N56" s="150"/>
      <c r="O56" s="150"/>
      <c r="P56" s="150"/>
      <c r="Q56" s="150"/>
      <c r="R56" s="150"/>
      <c r="S56" s="150"/>
      <c r="T56" s="150"/>
      <c r="U56" s="150"/>
      <c r="V56" s="150"/>
      <c r="W56" s="150"/>
      <c r="X56" s="150"/>
      <c r="Y56" s="150"/>
      <c r="Z56" s="150"/>
    </row>
    <row r="57" spans="1:26" s="151" customFormat="1" ht="68.400000000000006" customHeight="1" x14ac:dyDescent="0.25">
      <c r="A57" s="217" t="str">
        <f t="shared" si="0"/>
        <v>Đăng ký tài khoản-49</v>
      </c>
      <c r="B57" s="222"/>
      <c r="C57" s="225"/>
      <c r="D57" s="227" t="s">
        <v>219</v>
      </c>
      <c r="E57" s="220" t="s">
        <v>240</v>
      </c>
      <c r="F57" s="220" t="s">
        <v>231</v>
      </c>
      <c r="G57" s="220" t="s">
        <v>232</v>
      </c>
      <c r="H57" s="220" t="s">
        <v>433</v>
      </c>
      <c r="I57" s="220" t="s">
        <v>32</v>
      </c>
      <c r="J57" s="220"/>
      <c r="K57" s="220"/>
      <c r="L57" s="149"/>
      <c r="M57" s="150"/>
      <c r="N57" s="150"/>
      <c r="O57" s="150"/>
      <c r="P57" s="150"/>
      <c r="Q57" s="150"/>
      <c r="R57" s="150"/>
      <c r="S57" s="150"/>
      <c r="T57" s="150"/>
      <c r="U57" s="150"/>
      <c r="V57" s="150"/>
      <c r="W57" s="150"/>
      <c r="X57" s="150"/>
      <c r="Y57" s="150"/>
      <c r="Z57" s="150"/>
    </row>
    <row r="58" spans="1:26" s="151" customFormat="1" ht="79.2" customHeight="1" x14ac:dyDescent="0.25">
      <c r="A58" s="217" t="str">
        <f t="shared" si="0"/>
        <v>Đăng ký tài khoản-50</v>
      </c>
      <c r="B58" s="228"/>
      <c r="C58" s="225"/>
      <c r="D58" s="227" t="s">
        <v>220</v>
      </c>
      <c r="E58" s="220" t="s">
        <v>240</v>
      </c>
      <c r="F58" s="220" t="s">
        <v>233</v>
      </c>
      <c r="G58" s="220" t="s">
        <v>234</v>
      </c>
      <c r="H58" s="220" t="s">
        <v>434</v>
      </c>
      <c r="I58" s="220" t="s">
        <v>32</v>
      </c>
      <c r="J58" s="220"/>
      <c r="K58" s="220"/>
      <c r="L58" s="149"/>
      <c r="M58" s="150"/>
      <c r="N58" s="150"/>
      <c r="O58" s="150"/>
      <c r="P58" s="150"/>
      <c r="Q58" s="150"/>
      <c r="R58" s="150"/>
      <c r="S58" s="150"/>
      <c r="T58" s="150"/>
      <c r="U58" s="150"/>
      <c r="V58" s="150"/>
      <c r="W58" s="150"/>
      <c r="X58" s="150"/>
      <c r="Y58" s="150"/>
      <c r="Z58" s="150"/>
    </row>
    <row r="59" spans="1:26" s="151" customFormat="1" ht="93" customHeight="1" x14ac:dyDescent="0.25">
      <c r="A59" s="217" t="str">
        <f t="shared" si="0"/>
        <v>Đăng ký tài khoản-51</v>
      </c>
      <c r="B59" s="229"/>
      <c r="C59" s="230" t="s">
        <v>98</v>
      </c>
      <c r="D59" s="230" t="s">
        <v>81</v>
      </c>
      <c r="E59" s="220" t="s">
        <v>240</v>
      </c>
      <c r="F59" s="220" t="s">
        <v>235</v>
      </c>
      <c r="G59" s="220" t="s">
        <v>236</v>
      </c>
      <c r="H59" s="218" t="s">
        <v>158</v>
      </c>
      <c r="I59" s="220" t="s">
        <v>32</v>
      </c>
      <c r="J59" s="220"/>
      <c r="K59" s="220"/>
      <c r="L59" s="149"/>
      <c r="M59" s="150"/>
      <c r="N59" s="150"/>
      <c r="O59" s="150"/>
      <c r="P59" s="150"/>
      <c r="Q59" s="150"/>
      <c r="R59" s="150"/>
      <c r="S59" s="150"/>
      <c r="T59" s="150"/>
      <c r="U59" s="150"/>
      <c r="V59" s="150"/>
      <c r="W59" s="150"/>
      <c r="X59" s="150"/>
      <c r="Y59" s="150"/>
      <c r="Z59" s="150"/>
    </row>
    <row r="60" spans="1:26" s="151" customFormat="1" ht="76.8" customHeight="1" x14ac:dyDescent="0.25">
      <c r="A60" s="217" t="str">
        <f t="shared" si="0"/>
        <v>Đăng ký tài khoản-52</v>
      </c>
      <c r="B60" s="220"/>
      <c r="C60" s="231"/>
      <c r="D60" s="231" t="s">
        <v>99</v>
      </c>
      <c r="E60" s="220" t="s">
        <v>240</v>
      </c>
      <c r="F60" s="220" t="s">
        <v>478</v>
      </c>
      <c r="G60" s="220" t="s">
        <v>604</v>
      </c>
      <c r="H60" s="220" t="s">
        <v>435</v>
      </c>
      <c r="I60" s="220" t="s">
        <v>32</v>
      </c>
      <c r="J60" s="220"/>
      <c r="K60" s="220"/>
      <c r="L60" s="149"/>
      <c r="M60" s="150"/>
      <c r="N60" s="150"/>
      <c r="O60" s="150"/>
      <c r="P60" s="150"/>
      <c r="Q60" s="150"/>
      <c r="R60" s="150"/>
      <c r="S60" s="150"/>
      <c r="T60" s="150"/>
      <c r="U60" s="150"/>
      <c r="V60" s="150"/>
      <c r="W60" s="150"/>
      <c r="X60" s="150"/>
      <c r="Y60" s="150"/>
      <c r="Z60" s="150"/>
    </row>
    <row r="61" spans="1:26" s="151" customFormat="1" ht="81" customHeight="1" x14ac:dyDescent="0.25">
      <c r="A61" s="217" t="str">
        <f t="shared" si="0"/>
        <v>Đăng ký tài khoản-53</v>
      </c>
      <c r="B61" s="220"/>
      <c r="C61" s="229"/>
      <c r="D61" s="230" t="s">
        <v>618</v>
      </c>
      <c r="E61" s="220" t="s">
        <v>240</v>
      </c>
      <c r="F61" s="232" t="s">
        <v>619</v>
      </c>
      <c r="G61" s="220" t="s">
        <v>605</v>
      </c>
      <c r="H61" s="220" t="s">
        <v>425</v>
      </c>
      <c r="I61" s="220" t="s">
        <v>32</v>
      </c>
      <c r="J61" s="220"/>
      <c r="K61" s="220"/>
      <c r="L61" s="149"/>
      <c r="M61" s="150"/>
      <c r="N61" s="150"/>
      <c r="O61" s="150"/>
      <c r="P61" s="150"/>
      <c r="Q61" s="150"/>
      <c r="R61" s="150"/>
      <c r="S61" s="150"/>
      <c r="T61" s="150"/>
      <c r="U61" s="150"/>
      <c r="V61" s="150"/>
      <c r="W61" s="150"/>
      <c r="X61" s="150"/>
      <c r="Y61" s="150"/>
      <c r="Z61" s="150"/>
    </row>
    <row r="62" spans="1:26" s="176" customFormat="1" ht="189" customHeight="1" x14ac:dyDescent="0.25">
      <c r="A62" s="217" t="str">
        <f t="shared" si="0"/>
        <v>Đăng ký tài khoản-54</v>
      </c>
      <c r="B62" s="220" t="s">
        <v>62</v>
      </c>
      <c r="C62" s="220" t="s">
        <v>102</v>
      </c>
      <c r="D62" s="220" t="s">
        <v>128</v>
      </c>
      <c r="E62" s="220" t="s">
        <v>620</v>
      </c>
      <c r="F62" s="220" t="s">
        <v>238</v>
      </c>
      <c r="G62" s="218" t="s">
        <v>606</v>
      </c>
      <c r="H62" s="220" t="s">
        <v>607</v>
      </c>
      <c r="I62" s="220" t="s">
        <v>32</v>
      </c>
      <c r="J62" s="220"/>
      <c r="K62" s="220"/>
      <c r="L62" s="149"/>
      <c r="M62" s="150"/>
      <c r="N62" s="150"/>
      <c r="O62" s="150"/>
      <c r="P62" s="150"/>
      <c r="Q62" s="150"/>
      <c r="R62" s="150"/>
      <c r="S62" s="150"/>
      <c r="T62" s="150"/>
      <c r="U62" s="150"/>
      <c r="V62" s="150"/>
      <c r="W62" s="150"/>
      <c r="X62" s="150"/>
      <c r="Y62" s="150"/>
      <c r="Z62" s="150"/>
    </row>
    <row r="63" spans="1:26" s="166" customFormat="1" ht="178.8" customHeight="1" x14ac:dyDescent="0.35">
      <c r="A63" s="217" t="str">
        <f t="shared" si="0"/>
        <v>Đăng ký tài khoản-55</v>
      </c>
      <c r="B63" s="233"/>
      <c r="C63" s="233"/>
      <c r="D63" s="230" t="s">
        <v>129</v>
      </c>
      <c r="E63" s="230" t="s">
        <v>622</v>
      </c>
      <c r="F63" s="230" t="s">
        <v>237</v>
      </c>
      <c r="G63" s="218" t="s">
        <v>606</v>
      </c>
      <c r="H63" s="230" t="s">
        <v>608</v>
      </c>
      <c r="I63" s="220" t="s">
        <v>32</v>
      </c>
      <c r="J63" s="233"/>
      <c r="K63" s="230"/>
      <c r="L63" s="165"/>
      <c r="M63" s="165"/>
      <c r="N63" s="165"/>
      <c r="O63" s="165"/>
      <c r="P63" s="165"/>
      <c r="Q63" s="165"/>
      <c r="R63" s="165"/>
      <c r="S63" s="165"/>
      <c r="T63" s="165"/>
      <c r="U63" s="165"/>
      <c r="V63" s="165"/>
      <c r="W63" s="165"/>
      <c r="X63" s="165"/>
      <c r="Y63" s="165"/>
      <c r="Z63" s="165"/>
    </row>
    <row r="64" spans="1:26" s="166" customFormat="1" ht="166.2" customHeight="1" x14ac:dyDescent="0.35">
      <c r="A64" s="217" t="str">
        <f t="shared" si="0"/>
        <v>Đăng ký tài khoản-56</v>
      </c>
      <c r="B64" s="233"/>
      <c r="C64" s="233"/>
      <c r="D64" s="230" t="s">
        <v>185</v>
      </c>
      <c r="E64" s="230" t="s">
        <v>621</v>
      </c>
      <c r="F64" s="230" t="s">
        <v>239</v>
      </c>
      <c r="G64" s="218" t="s">
        <v>606</v>
      </c>
      <c r="H64" s="230" t="s">
        <v>609</v>
      </c>
      <c r="I64" s="220" t="s">
        <v>34</v>
      </c>
      <c r="J64" s="233"/>
      <c r="K64" s="230" t="s">
        <v>399</v>
      </c>
      <c r="L64" s="165"/>
      <c r="M64" s="165"/>
      <c r="N64" s="165"/>
      <c r="O64" s="165"/>
      <c r="P64" s="165"/>
      <c r="Q64" s="165"/>
      <c r="R64" s="165"/>
      <c r="S64" s="165"/>
      <c r="T64" s="165"/>
      <c r="U64" s="165"/>
      <c r="V64" s="165"/>
      <c r="W64" s="165"/>
      <c r="X64" s="165"/>
      <c r="Y64" s="165"/>
      <c r="Z64" s="165"/>
    </row>
    <row r="65" spans="1:26" s="166" customFormat="1" ht="178.8" customHeight="1" x14ac:dyDescent="0.35">
      <c r="A65" s="217" t="str">
        <f t="shared" si="0"/>
        <v>Đăng ký tài khoản-57</v>
      </c>
      <c r="B65" s="233"/>
      <c r="C65" s="233"/>
      <c r="D65" s="230" t="s">
        <v>400</v>
      </c>
      <c r="E65" s="230" t="s">
        <v>620</v>
      </c>
      <c r="F65" s="230" t="s">
        <v>238</v>
      </c>
      <c r="G65" s="218" t="s">
        <v>606</v>
      </c>
      <c r="H65" s="230" t="s">
        <v>329</v>
      </c>
      <c r="I65" s="234" t="s">
        <v>36</v>
      </c>
      <c r="J65" s="233"/>
      <c r="K65" s="233"/>
      <c r="L65" s="165"/>
      <c r="M65" s="165"/>
      <c r="N65" s="165"/>
      <c r="O65" s="165"/>
      <c r="P65" s="165"/>
      <c r="Q65" s="165"/>
      <c r="R65" s="165"/>
      <c r="S65" s="165"/>
      <c r="T65" s="165"/>
      <c r="U65" s="165"/>
      <c r="V65" s="165"/>
      <c r="W65" s="165"/>
      <c r="X65" s="165"/>
      <c r="Y65" s="165"/>
      <c r="Z65" s="165"/>
    </row>
    <row r="66" spans="1:26" ht="12.75" customHeight="1" x14ac:dyDescent="0.25">
      <c r="A66" s="172"/>
      <c r="B66" s="156"/>
      <c r="C66" s="156"/>
      <c r="D66" s="156"/>
      <c r="E66" s="156"/>
      <c r="F66" s="156"/>
      <c r="G66" s="156"/>
      <c r="H66" s="156"/>
      <c r="I66" s="156"/>
      <c r="J66" s="156"/>
      <c r="K66" s="156"/>
      <c r="L66" s="156"/>
      <c r="M66" s="8"/>
      <c r="N66" s="8"/>
      <c r="O66" s="8"/>
      <c r="P66" s="8"/>
      <c r="Q66" s="8"/>
      <c r="R66" s="8"/>
      <c r="S66" s="8"/>
      <c r="T66" s="8"/>
      <c r="U66" s="8"/>
      <c r="V66" s="8"/>
      <c r="W66" s="8"/>
      <c r="X66" s="8"/>
      <c r="Y66" s="8"/>
      <c r="Z66" s="8"/>
    </row>
    <row r="67" spans="1:26" ht="12.75" customHeight="1" x14ac:dyDescent="0.25">
      <c r="A67" s="172"/>
      <c r="B67" s="156"/>
      <c r="C67" s="156"/>
      <c r="D67" s="156"/>
      <c r="E67" s="156"/>
      <c r="F67" s="156"/>
      <c r="G67" s="156"/>
      <c r="H67" s="156"/>
      <c r="I67" s="156"/>
      <c r="J67" s="156"/>
      <c r="K67" s="156"/>
      <c r="L67" s="156"/>
      <c r="M67" s="8"/>
      <c r="N67" s="8"/>
      <c r="O67" s="8"/>
      <c r="P67" s="8"/>
      <c r="Q67" s="8"/>
      <c r="R67" s="8"/>
      <c r="S67" s="8"/>
      <c r="T67" s="8"/>
      <c r="U67" s="8"/>
      <c r="V67" s="8"/>
      <c r="W67" s="8"/>
      <c r="X67" s="8"/>
      <c r="Y67" s="8"/>
      <c r="Z67" s="8"/>
    </row>
    <row r="68" spans="1:26" ht="12.75" customHeight="1" x14ac:dyDescent="0.25">
      <c r="A68" s="172"/>
      <c r="B68" s="156"/>
      <c r="C68" s="156"/>
      <c r="D68" s="156"/>
      <c r="E68" s="156"/>
      <c r="F68" s="156"/>
      <c r="G68" s="156"/>
      <c r="H68" s="156"/>
      <c r="I68" s="156"/>
      <c r="J68" s="156"/>
      <c r="K68" s="156"/>
      <c r="L68" s="156"/>
      <c r="M68" s="8"/>
      <c r="N68" s="8"/>
      <c r="O68" s="8"/>
      <c r="P68" s="8"/>
      <c r="Q68" s="8"/>
      <c r="R68" s="8"/>
      <c r="S68" s="8"/>
      <c r="T68" s="8"/>
      <c r="U68" s="8"/>
      <c r="V68" s="8"/>
      <c r="W68" s="8"/>
      <c r="X68" s="8"/>
      <c r="Y68" s="8"/>
      <c r="Z68" s="8"/>
    </row>
    <row r="69" spans="1:26" ht="12.75" customHeight="1" x14ac:dyDescent="0.25">
      <c r="A69" s="172"/>
      <c r="B69" s="156"/>
      <c r="C69" s="156"/>
      <c r="D69" s="156"/>
      <c r="E69" s="156"/>
      <c r="F69" s="156"/>
      <c r="G69" s="156"/>
      <c r="H69" s="156"/>
      <c r="I69" s="156"/>
      <c r="J69" s="156"/>
      <c r="K69" s="156"/>
      <c r="L69" s="156"/>
      <c r="M69" s="8"/>
      <c r="N69" s="8"/>
      <c r="O69" s="8"/>
      <c r="P69" s="8"/>
      <c r="Q69" s="8"/>
      <c r="R69" s="8"/>
      <c r="S69" s="8"/>
      <c r="T69" s="8"/>
      <c r="U69" s="8"/>
      <c r="V69" s="8"/>
      <c r="W69" s="8"/>
      <c r="X69" s="8"/>
      <c r="Y69" s="8"/>
      <c r="Z69" s="8"/>
    </row>
    <row r="70" spans="1:26" ht="12.75" customHeight="1" x14ac:dyDescent="0.25">
      <c r="A70" s="172"/>
      <c r="B70" s="156"/>
      <c r="C70" s="156"/>
      <c r="D70" s="156"/>
      <c r="E70" s="156"/>
      <c r="F70" s="156"/>
      <c r="G70" s="156"/>
      <c r="H70" s="156"/>
      <c r="I70" s="156"/>
      <c r="J70" s="156"/>
      <c r="K70" s="156"/>
      <c r="L70" s="156"/>
      <c r="M70" s="8"/>
      <c r="N70" s="8"/>
      <c r="O70" s="8"/>
      <c r="P70" s="8"/>
      <c r="Q70" s="8"/>
      <c r="R70" s="8"/>
      <c r="S70" s="8"/>
      <c r="T70" s="8"/>
      <c r="U70" s="8"/>
      <c r="V70" s="8"/>
      <c r="W70" s="8"/>
      <c r="X70" s="8"/>
      <c r="Y70" s="8"/>
      <c r="Z70" s="8"/>
    </row>
    <row r="71" spans="1:26" ht="12.75" customHeight="1" x14ac:dyDescent="0.25">
      <c r="A71" s="172"/>
      <c r="B71" s="156"/>
      <c r="C71" s="156"/>
      <c r="D71" s="156"/>
      <c r="E71" s="156"/>
      <c r="F71" s="156"/>
      <c r="G71" s="156"/>
      <c r="H71" s="156"/>
      <c r="I71" s="156"/>
      <c r="J71" s="156"/>
      <c r="K71" s="156"/>
      <c r="L71" s="156"/>
      <c r="M71" s="8"/>
      <c r="N71" s="8"/>
      <c r="O71" s="8"/>
      <c r="P71" s="8"/>
      <c r="Q71" s="8"/>
      <c r="R71" s="8"/>
      <c r="S71" s="8"/>
      <c r="T71" s="8"/>
      <c r="U71" s="8"/>
      <c r="V71" s="8"/>
      <c r="W71" s="8"/>
      <c r="X71" s="8"/>
      <c r="Y71" s="8"/>
      <c r="Z71" s="8"/>
    </row>
    <row r="72" spans="1:26" ht="12.75" customHeight="1" x14ac:dyDescent="0.25">
      <c r="A72" s="172"/>
      <c r="B72" s="156"/>
      <c r="C72" s="156"/>
      <c r="D72" s="156"/>
      <c r="E72" s="156"/>
      <c r="F72" s="156"/>
      <c r="G72" s="156"/>
      <c r="H72" s="156"/>
      <c r="I72" s="156"/>
      <c r="J72" s="156"/>
      <c r="K72" s="156"/>
      <c r="L72" s="156"/>
      <c r="M72" s="8"/>
      <c r="N72" s="8"/>
      <c r="O72" s="8"/>
      <c r="P72" s="8"/>
      <c r="Q72" s="8"/>
      <c r="R72" s="8"/>
      <c r="S72" s="8"/>
      <c r="T72" s="8"/>
      <c r="U72" s="8"/>
      <c r="V72" s="8"/>
      <c r="W72" s="8"/>
      <c r="X72" s="8"/>
      <c r="Y72" s="8"/>
      <c r="Z72" s="8"/>
    </row>
    <row r="73" spans="1:26" ht="12.75" customHeight="1" x14ac:dyDescent="0.25">
      <c r="A73" s="133"/>
      <c r="B73" s="8"/>
      <c r="C73" s="8"/>
      <c r="D73" s="8"/>
      <c r="E73" s="8"/>
      <c r="F73" s="8"/>
      <c r="G73" s="8"/>
      <c r="H73" s="8"/>
      <c r="I73" s="8"/>
      <c r="J73" s="8"/>
      <c r="K73" s="8"/>
      <c r="L73" s="94"/>
      <c r="M73" s="8"/>
      <c r="N73" s="8"/>
      <c r="O73" s="8"/>
      <c r="P73" s="8"/>
      <c r="Q73" s="8"/>
      <c r="R73" s="8"/>
      <c r="S73" s="8"/>
      <c r="T73" s="8"/>
      <c r="U73" s="8"/>
      <c r="V73" s="8"/>
      <c r="W73" s="8"/>
      <c r="X73" s="8"/>
      <c r="Y73" s="8"/>
      <c r="Z73" s="8"/>
    </row>
    <row r="74" spans="1:26" ht="12.75" customHeight="1" x14ac:dyDescent="0.25">
      <c r="A74" s="133"/>
      <c r="B74" s="8"/>
      <c r="C74" s="8"/>
      <c r="D74" s="8"/>
      <c r="E74" s="8"/>
      <c r="F74" s="8"/>
      <c r="G74" s="8"/>
      <c r="H74" s="8"/>
      <c r="I74" s="8"/>
      <c r="J74" s="8"/>
      <c r="K74" s="8"/>
      <c r="L74" s="94"/>
      <c r="M74" s="8"/>
      <c r="N74" s="8"/>
      <c r="O74" s="8"/>
      <c r="P74" s="8"/>
      <c r="Q74" s="8"/>
      <c r="R74" s="8"/>
      <c r="S74" s="8"/>
      <c r="T74" s="8"/>
      <c r="U74" s="8"/>
      <c r="V74" s="8"/>
      <c r="W74" s="8"/>
      <c r="X74" s="8"/>
      <c r="Y74" s="8"/>
      <c r="Z74" s="8"/>
    </row>
    <row r="75" spans="1:26" ht="12.75" customHeight="1" x14ac:dyDescent="0.25">
      <c r="A75" s="133"/>
      <c r="B75" s="8"/>
      <c r="C75" s="8"/>
      <c r="D75" s="8"/>
      <c r="E75" s="8"/>
      <c r="F75" s="8"/>
      <c r="G75" s="8"/>
      <c r="H75" s="8"/>
      <c r="I75" s="8"/>
      <c r="J75" s="8"/>
      <c r="K75" s="8"/>
      <c r="L75" s="94"/>
      <c r="M75" s="8"/>
      <c r="N75" s="8"/>
      <c r="O75" s="8"/>
      <c r="P75" s="8"/>
      <c r="Q75" s="8"/>
      <c r="R75" s="8"/>
      <c r="S75" s="8"/>
      <c r="T75" s="8"/>
      <c r="U75" s="8"/>
      <c r="V75" s="8"/>
      <c r="W75" s="8"/>
      <c r="X75" s="8"/>
      <c r="Y75" s="8"/>
      <c r="Z75" s="8"/>
    </row>
    <row r="76" spans="1:26" ht="12.75" customHeight="1" x14ac:dyDescent="0.25">
      <c r="A76" s="133"/>
      <c r="B76" s="8"/>
      <c r="C76" s="8"/>
      <c r="D76" s="8"/>
      <c r="E76" s="8"/>
      <c r="F76" s="8"/>
      <c r="G76" s="8"/>
      <c r="H76" s="8"/>
      <c r="I76" s="8"/>
      <c r="J76" s="8"/>
      <c r="K76" s="8"/>
      <c r="L76" s="94"/>
      <c r="M76" s="8"/>
      <c r="N76" s="8"/>
      <c r="O76" s="8"/>
      <c r="P76" s="8"/>
      <c r="Q76" s="8"/>
      <c r="R76" s="8"/>
      <c r="S76" s="8"/>
      <c r="T76" s="8"/>
      <c r="U76" s="8"/>
      <c r="V76" s="8"/>
      <c r="W76" s="8"/>
      <c r="X76" s="8"/>
      <c r="Y76" s="8"/>
      <c r="Z76" s="8"/>
    </row>
    <row r="77" spans="1:26" ht="12.75" customHeight="1" x14ac:dyDescent="0.25">
      <c r="A77" s="133"/>
      <c r="B77" s="8"/>
      <c r="C77" s="8"/>
      <c r="D77" s="8"/>
      <c r="E77" s="8"/>
      <c r="F77" s="8"/>
      <c r="G77" s="8"/>
      <c r="H77" s="8"/>
      <c r="I77" s="8"/>
      <c r="J77" s="8"/>
      <c r="K77" s="8"/>
      <c r="L77" s="94"/>
      <c r="M77" s="8"/>
      <c r="N77" s="8"/>
      <c r="O77" s="8"/>
      <c r="P77" s="8"/>
      <c r="Q77" s="8"/>
      <c r="R77" s="8"/>
      <c r="S77" s="8"/>
      <c r="T77" s="8"/>
      <c r="U77" s="8"/>
      <c r="V77" s="8"/>
      <c r="W77" s="8"/>
      <c r="X77" s="8"/>
      <c r="Y77" s="8"/>
      <c r="Z77" s="8"/>
    </row>
    <row r="78" spans="1:26" ht="12.75" customHeight="1" x14ac:dyDescent="0.25">
      <c r="A78" s="133"/>
      <c r="B78" s="8"/>
      <c r="C78" s="8"/>
      <c r="D78" s="8"/>
      <c r="E78" s="8"/>
      <c r="F78" s="8"/>
      <c r="G78" s="8"/>
      <c r="H78" s="8"/>
      <c r="I78" s="8"/>
      <c r="J78" s="8"/>
      <c r="K78" s="8"/>
      <c r="L78" s="94"/>
      <c r="M78" s="8"/>
      <c r="N78" s="8"/>
      <c r="O78" s="8"/>
      <c r="P78" s="8"/>
      <c r="Q78" s="8"/>
      <c r="R78" s="8"/>
      <c r="S78" s="8"/>
      <c r="T78" s="8"/>
      <c r="U78" s="8"/>
      <c r="V78" s="8"/>
      <c r="W78" s="8"/>
      <c r="X78" s="8"/>
      <c r="Y78" s="8"/>
      <c r="Z78" s="8"/>
    </row>
    <row r="79" spans="1:26" ht="12.75" customHeight="1" x14ac:dyDescent="0.25">
      <c r="A79" s="133"/>
      <c r="B79" s="8"/>
      <c r="C79" s="8"/>
      <c r="D79" s="8"/>
      <c r="E79" s="8"/>
      <c r="F79" s="8"/>
      <c r="G79" s="8"/>
      <c r="H79" s="8"/>
      <c r="I79" s="8"/>
      <c r="J79" s="8"/>
      <c r="K79" s="8"/>
      <c r="L79" s="94"/>
      <c r="M79" s="8"/>
      <c r="N79" s="8"/>
      <c r="O79" s="8"/>
      <c r="P79" s="8"/>
      <c r="Q79" s="8"/>
      <c r="R79" s="8"/>
      <c r="S79" s="8"/>
      <c r="T79" s="8"/>
      <c r="U79" s="8"/>
      <c r="V79" s="8"/>
      <c r="W79" s="8"/>
      <c r="X79" s="8"/>
      <c r="Y79" s="8"/>
      <c r="Z79" s="8"/>
    </row>
    <row r="80" spans="1:26" ht="12.75" customHeight="1" x14ac:dyDescent="0.25">
      <c r="A80" s="133"/>
      <c r="B80" s="8"/>
      <c r="C80" s="8"/>
      <c r="D80" s="8"/>
      <c r="E80" s="8"/>
      <c r="F80" s="8"/>
      <c r="G80" s="8"/>
      <c r="H80" s="8"/>
      <c r="I80" s="8"/>
      <c r="J80" s="8"/>
      <c r="K80" s="8"/>
      <c r="L80" s="94"/>
      <c r="M80" s="8"/>
      <c r="N80" s="8"/>
      <c r="O80" s="8"/>
      <c r="P80" s="8"/>
      <c r="Q80" s="8"/>
      <c r="R80" s="8"/>
      <c r="S80" s="8"/>
      <c r="T80" s="8"/>
      <c r="U80" s="8"/>
      <c r="V80" s="8"/>
      <c r="W80" s="8"/>
      <c r="X80" s="8"/>
      <c r="Y80" s="8"/>
      <c r="Z80" s="8"/>
    </row>
    <row r="81" spans="1:26" ht="12.75" customHeight="1" x14ac:dyDescent="0.25">
      <c r="A81" s="133"/>
      <c r="B81" s="8"/>
      <c r="C81" s="8"/>
      <c r="D81" s="8"/>
      <c r="E81" s="8"/>
      <c r="F81" s="8"/>
      <c r="G81" s="8"/>
      <c r="H81" s="8"/>
      <c r="I81" s="8"/>
      <c r="J81" s="8"/>
      <c r="K81" s="8"/>
      <c r="L81" s="94"/>
      <c r="M81" s="8"/>
      <c r="N81" s="8"/>
      <c r="O81" s="8"/>
      <c r="P81" s="8"/>
      <c r="Q81" s="8"/>
      <c r="R81" s="8"/>
      <c r="S81" s="8"/>
      <c r="T81" s="8"/>
      <c r="U81" s="8"/>
      <c r="V81" s="8"/>
      <c r="W81" s="8"/>
      <c r="X81" s="8"/>
      <c r="Y81" s="8"/>
      <c r="Z81" s="8"/>
    </row>
    <row r="82" spans="1:26" ht="12.75" customHeight="1" x14ac:dyDescent="0.25">
      <c r="A82" s="133"/>
      <c r="B82" s="8"/>
      <c r="C82" s="8"/>
      <c r="D82" s="8"/>
      <c r="E82" s="8"/>
      <c r="F82" s="8"/>
      <c r="G82" s="8"/>
      <c r="H82" s="8"/>
      <c r="I82" s="8"/>
      <c r="J82" s="8"/>
      <c r="K82" s="8"/>
      <c r="L82" s="94"/>
      <c r="M82" s="8"/>
      <c r="N82" s="8"/>
      <c r="O82" s="8"/>
      <c r="P82" s="8"/>
      <c r="Q82" s="8"/>
      <c r="R82" s="8"/>
      <c r="S82" s="8"/>
      <c r="T82" s="8"/>
      <c r="U82" s="8"/>
      <c r="V82" s="8"/>
      <c r="W82" s="8"/>
      <c r="X82" s="8"/>
      <c r="Y82" s="8"/>
      <c r="Z82" s="8"/>
    </row>
    <row r="83" spans="1:26" ht="12.75" customHeight="1" x14ac:dyDescent="0.25">
      <c r="A83" s="133"/>
      <c r="B83" s="8"/>
      <c r="C83" s="8"/>
      <c r="D83" s="8"/>
      <c r="E83" s="8"/>
      <c r="F83" s="8"/>
      <c r="G83" s="8"/>
      <c r="H83" s="8"/>
      <c r="I83" s="8"/>
      <c r="J83" s="8"/>
      <c r="K83" s="8"/>
      <c r="L83" s="94"/>
      <c r="M83" s="8"/>
      <c r="N83" s="8"/>
      <c r="O83" s="8"/>
      <c r="P83" s="8"/>
      <c r="Q83" s="8"/>
      <c r="R83" s="8"/>
      <c r="S83" s="8"/>
      <c r="T83" s="8"/>
      <c r="U83" s="8"/>
      <c r="V83" s="8"/>
      <c r="W83" s="8"/>
      <c r="X83" s="8"/>
      <c r="Y83" s="8"/>
      <c r="Z83" s="8"/>
    </row>
    <row r="84" spans="1:26" ht="12.75" customHeight="1" x14ac:dyDescent="0.25">
      <c r="A84" s="133"/>
      <c r="B84" s="8"/>
      <c r="C84" s="8"/>
      <c r="D84" s="8"/>
      <c r="E84" s="8"/>
      <c r="F84" s="8"/>
      <c r="G84" s="8"/>
      <c r="H84" s="8"/>
      <c r="I84" s="8"/>
      <c r="J84" s="8"/>
      <c r="K84" s="8"/>
      <c r="L84" s="94"/>
      <c r="M84" s="8"/>
      <c r="N84" s="8"/>
      <c r="O84" s="8"/>
      <c r="P84" s="8"/>
      <c r="Q84" s="8"/>
      <c r="R84" s="8"/>
      <c r="S84" s="8"/>
      <c r="T84" s="8"/>
      <c r="U84" s="8"/>
      <c r="V84" s="8"/>
      <c r="W84" s="8"/>
      <c r="X84" s="8"/>
      <c r="Y84" s="8"/>
      <c r="Z84" s="8"/>
    </row>
    <row r="85" spans="1:26" ht="12.75" customHeight="1" x14ac:dyDescent="0.25">
      <c r="A85" s="133"/>
      <c r="B85" s="8"/>
      <c r="C85" s="8"/>
      <c r="D85" s="8"/>
      <c r="E85" s="8"/>
      <c r="F85" s="8"/>
      <c r="G85" s="8"/>
      <c r="H85" s="8"/>
      <c r="I85" s="8"/>
      <c r="J85" s="8"/>
      <c r="K85" s="8"/>
      <c r="L85" s="94"/>
      <c r="M85" s="8"/>
      <c r="N85" s="8"/>
      <c r="O85" s="8"/>
      <c r="P85" s="8"/>
      <c r="Q85" s="8"/>
      <c r="R85" s="8"/>
      <c r="S85" s="8"/>
      <c r="T85" s="8"/>
      <c r="U85" s="8"/>
      <c r="V85" s="8"/>
      <c r="W85" s="8"/>
      <c r="X85" s="8"/>
      <c r="Y85" s="8"/>
      <c r="Z85" s="8"/>
    </row>
    <row r="86" spans="1:26" ht="12.75" customHeight="1" x14ac:dyDescent="0.25">
      <c r="A86" s="133"/>
      <c r="B86" s="8"/>
      <c r="C86" s="8"/>
      <c r="D86" s="8"/>
      <c r="E86" s="8"/>
      <c r="F86" s="8"/>
      <c r="G86" s="8"/>
      <c r="H86" s="8"/>
      <c r="I86" s="8"/>
      <c r="J86" s="8"/>
      <c r="K86" s="8"/>
      <c r="L86" s="94"/>
      <c r="M86" s="8"/>
      <c r="N86" s="8"/>
      <c r="O86" s="8"/>
      <c r="P86" s="8"/>
      <c r="Q86" s="8"/>
      <c r="R86" s="8"/>
      <c r="S86" s="8"/>
      <c r="T86" s="8"/>
      <c r="U86" s="8"/>
      <c r="V86" s="8"/>
      <c r="W86" s="8"/>
      <c r="X86" s="8"/>
      <c r="Y86" s="8"/>
      <c r="Z86" s="8"/>
    </row>
    <row r="87" spans="1:26" ht="12.75" customHeight="1" x14ac:dyDescent="0.25">
      <c r="A87" s="133"/>
      <c r="B87" s="8"/>
      <c r="C87" s="8"/>
      <c r="D87" s="8"/>
      <c r="E87" s="8"/>
      <c r="F87" s="8"/>
      <c r="G87" s="8"/>
      <c r="H87" s="8"/>
      <c r="I87" s="8"/>
      <c r="J87" s="8"/>
      <c r="K87" s="8"/>
      <c r="L87" s="94"/>
      <c r="M87" s="8"/>
      <c r="N87" s="8"/>
      <c r="O87" s="8"/>
      <c r="P87" s="8"/>
      <c r="Q87" s="8"/>
      <c r="R87" s="8"/>
      <c r="S87" s="8"/>
      <c r="T87" s="8"/>
      <c r="U87" s="8"/>
      <c r="V87" s="8"/>
      <c r="W87" s="8"/>
      <c r="X87" s="8"/>
      <c r="Y87" s="8"/>
      <c r="Z87" s="8"/>
    </row>
    <row r="88" spans="1:26" ht="12.75" customHeight="1" x14ac:dyDescent="0.25">
      <c r="A88" s="133"/>
      <c r="B88" s="8"/>
      <c r="C88" s="8"/>
      <c r="D88" s="8"/>
      <c r="E88" s="8"/>
      <c r="F88" s="8"/>
      <c r="G88" s="8"/>
      <c r="H88" s="8"/>
      <c r="I88" s="8"/>
      <c r="J88" s="8"/>
      <c r="K88" s="8"/>
      <c r="L88" s="94"/>
      <c r="M88" s="8"/>
      <c r="N88" s="8"/>
      <c r="O88" s="8"/>
      <c r="P88" s="8"/>
      <c r="Q88" s="8"/>
      <c r="R88" s="8"/>
      <c r="S88" s="8"/>
      <c r="T88" s="8"/>
      <c r="U88" s="8"/>
      <c r="V88" s="8"/>
      <c r="W88" s="8"/>
      <c r="X88" s="8"/>
      <c r="Y88" s="8"/>
      <c r="Z88" s="8"/>
    </row>
    <row r="89" spans="1:26" ht="12.75" customHeight="1" x14ac:dyDescent="0.25">
      <c r="A89" s="133"/>
      <c r="B89" s="8"/>
      <c r="C89" s="8"/>
      <c r="D89" s="8"/>
      <c r="E89" s="8"/>
      <c r="F89" s="8"/>
      <c r="G89" s="8"/>
      <c r="H89" s="8"/>
      <c r="I89" s="8"/>
      <c r="J89" s="8"/>
      <c r="K89" s="8"/>
      <c r="L89" s="94"/>
      <c r="M89" s="8"/>
      <c r="N89" s="8"/>
      <c r="O89" s="8"/>
      <c r="P89" s="8"/>
      <c r="Q89" s="8"/>
      <c r="R89" s="8"/>
      <c r="S89" s="8"/>
      <c r="T89" s="8"/>
      <c r="U89" s="8"/>
      <c r="V89" s="8"/>
      <c r="W89" s="8"/>
      <c r="X89" s="8"/>
      <c r="Y89" s="8"/>
      <c r="Z89" s="8"/>
    </row>
    <row r="90" spans="1:26" ht="12.75" customHeight="1" x14ac:dyDescent="0.25">
      <c r="A90" s="133"/>
      <c r="B90" s="8"/>
      <c r="C90" s="8"/>
      <c r="D90" s="8"/>
      <c r="E90" s="8"/>
      <c r="F90" s="8"/>
      <c r="G90" s="8"/>
      <c r="H90" s="8"/>
      <c r="I90" s="8"/>
      <c r="J90" s="8"/>
      <c r="K90" s="8"/>
      <c r="L90" s="94"/>
      <c r="M90" s="8"/>
      <c r="N90" s="8"/>
      <c r="O90" s="8"/>
      <c r="P90" s="8"/>
      <c r="Q90" s="8"/>
      <c r="R90" s="8"/>
      <c r="S90" s="8"/>
      <c r="T90" s="8"/>
      <c r="U90" s="8"/>
      <c r="V90" s="8"/>
      <c r="W90" s="8"/>
      <c r="X90" s="8"/>
      <c r="Y90" s="8"/>
      <c r="Z90" s="8"/>
    </row>
    <row r="91" spans="1:26" ht="12.75" customHeight="1" x14ac:dyDescent="0.25">
      <c r="A91" s="133"/>
      <c r="B91" s="8"/>
      <c r="C91" s="8"/>
      <c r="D91" s="8"/>
      <c r="E91" s="8"/>
      <c r="F91" s="8"/>
      <c r="G91" s="8"/>
      <c r="H91" s="8"/>
      <c r="I91" s="8"/>
      <c r="J91" s="8"/>
      <c r="K91" s="8"/>
      <c r="L91" s="94"/>
      <c r="M91" s="8"/>
      <c r="N91" s="8"/>
      <c r="O91" s="8"/>
      <c r="P91" s="8"/>
      <c r="Q91" s="8"/>
      <c r="R91" s="8"/>
      <c r="S91" s="8"/>
      <c r="T91" s="8"/>
      <c r="U91" s="8"/>
      <c r="V91" s="8"/>
      <c r="W91" s="8"/>
      <c r="X91" s="8"/>
      <c r="Y91" s="8"/>
      <c r="Z91" s="8"/>
    </row>
    <row r="92" spans="1:26" ht="12.75" customHeight="1" x14ac:dyDescent="0.25">
      <c r="A92" s="133"/>
      <c r="B92" s="8"/>
      <c r="C92" s="8"/>
      <c r="D92" s="8"/>
      <c r="E92" s="8"/>
      <c r="F92" s="8"/>
      <c r="G92" s="8"/>
      <c r="H92" s="8"/>
      <c r="I92" s="8"/>
      <c r="J92" s="8"/>
      <c r="K92" s="8"/>
      <c r="L92" s="94"/>
      <c r="M92" s="8"/>
      <c r="N92" s="8"/>
      <c r="O92" s="8"/>
      <c r="P92" s="8"/>
      <c r="Q92" s="8"/>
      <c r="R92" s="8"/>
      <c r="S92" s="8"/>
      <c r="T92" s="8"/>
      <c r="U92" s="8"/>
      <c r="V92" s="8"/>
      <c r="W92" s="8"/>
      <c r="X92" s="8"/>
      <c r="Y92" s="8"/>
      <c r="Z92" s="8"/>
    </row>
    <row r="93" spans="1:26" ht="12.75" customHeight="1" x14ac:dyDescent="0.25">
      <c r="A93" s="133"/>
      <c r="B93" s="8"/>
      <c r="C93" s="8"/>
      <c r="D93" s="8"/>
      <c r="E93" s="8"/>
      <c r="F93" s="8"/>
      <c r="G93" s="8"/>
      <c r="H93" s="8"/>
      <c r="I93" s="8"/>
      <c r="J93" s="8"/>
      <c r="K93" s="8"/>
      <c r="L93" s="94"/>
      <c r="M93" s="8"/>
      <c r="N93" s="8"/>
      <c r="O93" s="8"/>
      <c r="P93" s="8"/>
      <c r="Q93" s="8"/>
      <c r="R93" s="8"/>
      <c r="S93" s="8"/>
      <c r="T93" s="8"/>
      <c r="U93" s="8"/>
      <c r="V93" s="8"/>
      <c r="W93" s="8"/>
      <c r="X93" s="8"/>
      <c r="Y93" s="8"/>
      <c r="Z93" s="8"/>
    </row>
    <row r="94" spans="1:26" ht="12.75" customHeight="1" x14ac:dyDescent="0.25">
      <c r="A94" s="133"/>
      <c r="B94" s="8"/>
      <c r="C94" s="8"/>
      <c r="D94" s="8"/>
      <c r="E94" s="8"/>
      <c r="F94" s="8"/>
      <c r="G94" s="8"/>
      <c r="H94" s="8"/>
      <c r="I94" s="8"/>
      <c r="J94" s="8"/>
      <c r="K94" s="8"/>
      <c r="L94" s="94"/>
      <c r="M94" s="8"/>
      <c r="N94" s="8"/>
      <c r="O94" s="8"/>
      <c r="P94" s="8"/>
      <c r="Q94" s="8"/>
      <c r="R94" s="8"/>
      <c r="S94" s="8"/>
      <c r="T94" s="8"/>
      <c r="U94" s="8"/>
      <c r="V94" s="8"/>
      <c r="W94" s="8"/>
      <c r="X94" s="8"/>
      <c r="Y94" s="8"/>
      <c r="Z94" s="8"/>
    </row>
    <row r="95" spans="1:26" ht="12.75" customHeight="1" x14ac:dyDescent="0.25">
      <c r="A95" s="133"/>
      <c r="B95" s="8"/>
      <c r="C95" s="8"/>
      <c r="D95" s="8"/>
      <c r="E95" s="8"/>
      <c r="F95" s="8"/>
      <c r="G95" s="8"/>
      <c r="H95" s="8"/>
      <c r="I95" s="8"/>
      <c r="J95" s="8"/>
      <c r="K95" s="8"/>
      <c r="L95" s="94"/>
      <c r="M95" s="8"/>
      <c r="N95" s="8"/>
      <c r="O95" s="8"/>
      <c r="P95" s="8"/>
      <c r="Q95" s="8"/>
      <c r="R95" s="8"/>
      <c r="S95" s="8"/>
      <c r="T95" s="8"/>
      <c r="U95" s="8"/>
      <c r="V95" s="8"/>
      <c r="W95" s="8"/>
      <c r="X95" s="8"/>
      <c r="Y95" s="8"/>
      <c r="Z95" s="8"/>
    </row>
    <row r="96" spans="1:26" ht="12.75" customHeight="1" x14ac:dyDescent="0.25">
      <c r="A96" s="133"/>
      <c r="B96" s="8"/>
      <c r="C96" s="8"/>
      <c r="D96" s="8"/>
      <c r="E96" s="8"/>
      <c r="F96" s="8"/>
      <c r="G96" s="8"/>
      <c r="H96" s="8"/>
      <c r="I96" s="8"/>
      <c r="J96" s="8"/>
      <c r="K96" s="8"/>
      <c r="L96" s="94"/>
      <c r="M96" s="8"/>
      <c r="N96" s="8"/>
      <c r="O96" s="8"/>
      <c r="P96" s="8"/>
      <c r="Q96" s="8"/>
      <c r="R96" s="8"/>
      <c r="S96" s="8"/>
      <c r="T96" s="8"/>
      <c r="U96" s="8"/>
      <c r="V96" s="8"/>
      <c r="W96" s="8"/>
      <c r="X96" s="8"/>
      <c r="Y96" s="8"/>
      <c r="Z96" s="8"/>
    </row>
    <row r="97" spans="1:26" ht="12.75" customHeight="1" x14ac:dyDescent="0.25">
      <c r="A97" s="133"/>
      <c r="B97" s="8"/>
      <c r="C97" s="8"/>
      <c r="D97" s="8"/>
      <c r="E97" s="8"/>
      <c r="F97" s="8"/>
      <c r="G97" s="8"/>
      <c r="H97" s="8"/>
      <c r="I97" s="8"/>
      <c r="J97" s="8"/>
      <c r="K97" s="8"/>
      <c r="L97" s="94"/>
      <c r="M97" s="8"/>
      <c r="N97" s="8"/>
      <c r="O97" s="8"/>
      <c r="P97" s="8"/>
      <c r="Q97" s="8"/>
      <c r="R97" s="8"/>
      <c r="S97" s="8"/>
      <c r="T97" s="8"/>
      <c r="U97" s="8"/>
      <c r="V97" s="8"/>
      <c r="W97" s="8"/>
      <c r="X97" s="8"/>
      <c r="Y97" s="8"/>
      <c r="Z97" s="8"/>
    </row>
    <row r="98" spans="1:26" ht="12.75" customHeight="1" x14ac:dyDescent="0.25">
      <c r="A98" s="133"/>
      <c r="B98" s="8"/>
      <c r="C98" s="8"/>
      <c r="D98" s="8"/>
      <c r="E98" s="8"/>
      <c r="F98" s="8"/>
      <c r="G98" s="8"/>
      <c r="H98" s="8"/>
      <c r="I98" s="8"/>
      <c r="J98" s="8"/>
      <c r="K98" s="8"/>
      <c r="L98" s="94"/>
      <c r="M98" s="8"/>
      <c r="N98" s="8"/>
      <c r="O98" s="8"/>
      <c r="P98" s="8"/>
      <c r="Q98" s="8"/>
      <c r="R98" s="8"/>
      <c r="S98" s="8"/>
      <c r="T98" s="8"/>
      <c r="U98" s="8"/>
      <c r="V98" s="8"/>
      <c r="W98" s="8"/>
      <c r="X98" s="8"/>
      <c r="Y98" s="8"/>
      <c r="Z98" s="8"/>
    </row>
    <row r="99" spans="1:26" ht="12.75" customHeight="1" x14ac:dyDescent="0.25">
      <c r="A99" s="133"/>
      <c r="B99" s="8"/>
      <c r="C99" s="8"/>
      <c r="D99" s="8"/>
      <c r="E99" s="8"/>
      <c r="F99" s="8"/>
      <c r="G99" s="8"/>
      <c r="H99" s="8"/>
      <c r="I99" s="8"/>
      <c r="J99" s="8"/>
      <c r="K99" s="8"/>
      <c r="L99" s="94"/>
      <c r="M99" s="8"/>
      <c r="N99" s="8"/>
      <c r="O99" s="8"/>
      <c r="P99" s="8"/>
      <c r="Q99" s="8"/>
      <c r="R99" s="8"/>
      <c r="S99" s="8"/>
      <c r="T99" s="8"/>
      <c r="U99" s="8"/>
      <c r="V99" s="8"/>
      <c r="W99" s="8"/>
      <c r="X99" s="8"/>
      <c r="Y99" s="8"/>
      <c r="Z99" s="8"/>
    </row>
    <row r="100" spans="1:26" ht="12.75" customHeight="1" x14ac:dyDescent="0.25">
      <c r="A100" s="133"/>
      <c r="B100" s="8"/>
      <c r="C100" s="8"/>
      <c r="D100" s="8"/>
      <c r="E100" s="8"/>
      <c r="F100" s="8"/>
      <c r="G100" s="8"/>
      <c r="H100" s="8"/>
      <c r="I100" s="8"/>
      <c r="J100" s="8"/>
      <c r="K100" s="8"/>
      <c r="L100" s="94"/>
      <c r="M100" s="8"/>
      <c r="N100" s="8"/>
      <c r="O100" s="8"/>
      <c r="P100" s="8"/>
      <c r="Q100" s="8"/>
      <c r="R100" s="8"/>
      <c r="S100" s="8"/>
      <c r="T100" s="8"/>
      <c r="U100" s="8"/>
      <c r="V100" s="8"/>
      <c r="W100" s="8"/>
      <c r="X100" s="8"/>
      <c r="Y100" s="8"/>
      <c r="Z100" s="8"/>
    </row>
    <row r="101" spans="1:26" ht="12.75" customHeight="1" x14ac:dyDescent="0.25">
      <c r="A101" s="133"/>
      <c r="B101" s="8"/>
      <c r="C101" s="8"/>
      <c r="D101" s="8"/>
      <c r="E101" s="8"/>
      <c r="F101" s="8"/>
      <c r="G101" s="8"/>
      <c r="H101" s="8"/>
      <c r="I101" s="8"/>
      <c r="J101" s="8"/>
      <c r="K101" s="8"/>
      <c r="L101" s="94"/>
      <c r="M101" s="8"/>
      <c r="N101" s="8"/>
      <c r="O101" s="8"/>
      <c r="P101" s="8"/>
      <c r="Q101" s="8"/>
      <c r="R101" s="8"/>
      <c r="S101" s="8"/>
      <c r="T101" s="8"/>
      <c r="U101" s="8"/>
      <c r="V101" s="8"/>
      <c r="W101" s="8"/>
      <c r="X101" s="8"/>
      <c r="Y101" s="8"/>
      <c r="Z101" s="8"/>
    </row>
    <row r="102" spans="1:26" ht="12.75" customHeight="1" x14ac:dyDescent="0.25">
      <c r="A102" s="133"/>
      <c r="B102" s="8"/>
      <c r="C102" s="8"/>
      <c r="D102" s="8"/>
      <c r="E102" s="8"/>
      <c r="F102" s="8"/>
      <c r="G102" s="8"/>
      <c r="H102" s="8"/>
      <c r="I102" s="8"/>
      <c r="J102" s="8"/>
      <c r="K102" s="8"/>
      <c r="L102" s="94"/>
      <c r="M102" s="8"/>
      <c r="N102" s="8"/>
      <c r="O102" s="8"/>
      <c r="P102" s="8"/>
      <c r="Q102" s="8"/>
      <c r="R102" s="8"/>
      <c r="S102" s="8"/>
      <c r="T102" s="8"/>
      <c r="U102" s="8"/>
      <c r="V102" s="8"/>
      <c r="W102" s="8"/>
      <c r="X102" s="8"/>
      <c r="Y102" s="8"/>
      <c r="Z102" s="8"/>
    </row>
    <row r="103" spans="1:26" ht="12.75" customHeight="1" x14ac:dyDescent="0.25">
      <c r="A103" s="133"/>
      <c r="B103" s="8"/>
      <c r="C103" s="8"/>
      <c r="D103" s="8"/>
      <c r="E103" s="8"/>
      <c r="F103" s="8"/>
      <c r="G103" s="8"/>
      <c r="H103" s="8"/>
      <c r="I103" s="8"/>
      <c r="J103" s="8"/>
      <c r="K103" s="8"/>
      <c r="L103" s="94"/>
      <c r="M103" s="8"/>
      <c r="N103" s="8"/>
      <c r="O103" s="8"/>
      <c r="P103" s="8"/>
      <c r="Q103" s="8"/>
      <c r="R103" s="8"/>
      <c r="S103" s="8"/>
      <c r="T103" s="8"/>
      <c r="U103" s="8"/>
      <c r="V103" s="8"/>
      <c r="W103" s="8"/>
      <c r="X103" s="8"/>
      <c r="Y103" s="8"/>
      <c r="Z103" s="8"/>
    </row>
    <row r="104" spans="1:26" ht="12.75" customHeight="1" x14ac:dyDescent="0.25">
      <c r="A104" s="133"/>
      <c r="B104" s="8"/>
      <c r="C104" s="8"/>
      <c r="D104" s="8"/>
      <c r="E104" s="8"/>
      <c r="F104" s="8"/>
      <c r="G104" s="8"/>
      <c r="H104" s="8"/>
      <c r="I104" s="8"/>
      <c r="J104" s="8"/>
      <c r="K104" s="8"/>
      <c r="L104" s="94"/>
      <c r="M104" s="8"/>
      <c r="N104" s="8"/>
      <c r="O104" s="8"/>
      <c r="P104" s="8"/>
      <c r="Q104" s="8"/>
      <c r="R104" s="8"/>
      <c r="S104" s="8"/>
      <c r="T104" s="8"/>
      <c r="U104" s="8"/>
      <c r="V104" s="8"/>
      <c r="W104" s="8"/>
      <c r="X104" s="8"/>
      <c r="Y104" s="8"/>
      <c r="Z104" s="8"/>
    </row>
    <row r="105" spans="1:26" ht="12.75" customHeight="1" x14ac:dyDescent="0.25">
      <c r="A105" s="133"/>
      <c r="B105" s="8"/>
      <c r="C105" s="8"/>
      <c r="D105" s="8"/>
      <c r="E105" s="8"/>
      <c r="F105" s="8"/>
      <c r="G105" s="8"/>
      <c r="H105" s="8"/>
      <c r="I105" s="8"/>
      <c r="J105" s="8"/>
      <c r="K105" s="8"/>
      <c r="L105" s="94"/>
      <c r="M105" s="8"/>
      <c r="N105" s="8"/>
      <c r="O105" s="8"/>
      <c r="P105" s="8"/>
      <c r="Q105" s="8"/>
      <c r="R105" s="8"/>
      <c r="S105" s="8"/>
      <c r="T105" s="8"/>
      <c r="U105" s="8"/>
      <c r="V105" s="8"/>
      <c r="W105" s="8"/>
      <c r="X105" s="8"/>
      <c r="Y105" s="8"/>
      <c r="Z105" s="8"/>
    </row>
    <row r="106" spans="1:26" ht="12.75" customHeight="1" x14ac:dyDescent="0.25">
      <c r="A106" s="133"/>
      <c r="B106" s="8"/>
      <c r="C106" s="8"/>
      <c r="D106" s="8"/>
      <c r="E106" s="8"/>
      <c r="F106" s="8"/>
      <c r="G106" s="8"/>
      <c r="H106" s="8"/>
      <c r="I106" s="8"/>
      <c r="J106" s="8"/>
      <c r="K106" s="8"/>
      <c r="L106" s="94"/>
      <c r="M106" s="8"/>
      <c r="N106" s="8"/>
      <c r="O106" s="8"/>
      <c r="P106" s="8"/>
      <c r="Q106" s="8"/>
      <c r="R106" s="8"/>
      <c r="S106" s="8"/>
      <c r="T106" s="8"/>
      <c r="U106" s="8"/>
      <c r="V106" s="8"/>
      <c r="W106" s="8"/>
      <c r="X106" s="8"/>
      <c r="Y106" s="8"/>
      <c r="Z106" s="8"/>
    </row>
    <row r="107" spans="1:26" ht="12.75" customHeight="1" x14ac:dyDescent="0.25">
      <c r="A107" s="133"/>
      <c r="B107" s="8"/>
      <c r="C107" s="8"/>
      <c r="D107" s="8"/>
      <c r="E107" s="8"/>
      <c r="F107" s="8"/>
      <c r="G107" s="8"/>
      <c r="H107" s="8"/>
      <c r="I107" s="8"/>
      <c r="J107" s="8"/>
      <c r="K107" s="8"/>
      <c r="L107" s="94"/>
      <c r="M107" s="8"/>
      <c r="N107" s="8"/>
      <c r="O107" s="8"/>
      <c r="P107" s="8"/>
      <c r="Q107" s="8"/>
      <c r="R107" s="8"/>
      <c r="S107" s="8"/>
      <c r="T107" s="8"/>
      <c r="U107" s="8"/>
      <c r="V107" s="8"/>
      <c r="W107" s="8"/>
      <c r="X107" s="8"/>
      <c r="Y107" s="8"/>
      <c r="Z107" s="8"/>
    </row>
    <row r="108" spans="1:26" ht="12.75" customHeight="1" x14ac:dyDescent="0.25">
      <c r="A108" s="133"/>
      <c r="B108" s="8"/>
      <c r="C108" s="8"/>
      <c r="D108" s="8"/>
      <c r="E108" s="8"/>
      <c r="F108" s="8"/>
      <c r="G108" s="8"/>
      <c r="H108" s="8"/>
      <c r="I108" s="8"/>
      <c r="J108" s="8"/>
      <c r="K108" s="8"/>
      <c r="L108" s="94"/>
      <c r="M108" s="8"/>
      <c r="N108" s="8"/>
      <c r="O108" s="8"/>
      <c r="P108" s="8"/>
      <c r="Q108" s="8"/>
      <c r="R108" s="8"/>
      <c r="S108" s="8"/>
      <c r="T108" s="8"/>
      <c r="U108" s="8"/>
      <c r="V108" s="8"/>
      <c r="W108" s="8"/>
      <c r="X108" s="8"/>
      <c r="Y108" s="8"/>
      <c r="Z108" s="8"/>
    </row>
    <row r="109" spans="1:26" ht="12.75" customHeight="1" x14ac:dyDescent="0.25">
      <c r="A109" s="133"/>
      <c r="B109" s="8"/>
      <c r="C109" s="8"/>
      <c r="D109" s="8"/>
      <c r="E109" s="8"/>
      <c r="F109" s="8"/>
      <c r="G109" s="8"/>
      <c r="H109" s="8"/>
      <c r="I109" s="8"/>
      <c r="J109" s="8"/>
      <c r="K109" s="8"/>
      <c r="L109" s="94"/>
      <c r="M109" s="8"/>
      <c r="N109" s="8"/>
      <c r="O109" s="8"/>
      <c r="P109" s="8"/>
      <c r="Q109" s="8"/>
      <c r="R109" s="8"/>
      <c r="S109" s="8"/>
      <c r="T109" s="8"/>
      <c r="U109" s="8"/>
      <c r="V109" s="8"/>
      <c r="W109" s="8"/>
      <c r="X109" s="8"/>
      <c r="Y109" s="8"/>
      <c r="Z109" s="8"/>
    </row>
    <row r="110" spans="1:26" ht="12.75" customHeight="1" x14ac:dyDescent="0.25">
      <c r="A110" s="133"/>
      <c r="B110" s="8"/>
      <c r="C110" s="8"/>
      <c r="D110" s="8"/>
      <c r="E110" s="8"/>
      <c r="F110" s="8"/>
      <c r="G110" s="8"/>
      <c r="H110" s="8"/>
      <c r="I110" s="8"/>
      <c r="J110" s="8"/>
      <c r="K110" s="8"/>
      <c r="L110" s="94"/>
      <c r="M110" s="8"/>
      <c r="N110" s="8"/>
      <c r="O110" s="8"/>
      <c r="P110" s="8"/>
      <c r="Q110" s="8"/>
      <c r="R110" s="8"/>
      <c r="S110" s="8"/>
      <c r="T110" s="8"/>
      <c r="U110" s="8"/>
      <c r="V110" s="8"/>
      <c r="W110" s="8"/>
      <c r="X110" s="8"/>
      <c r="Y110" s="8"/>
      <c r="Z110" s="8"/>
    </row>
    <row r="111" spans="1:26" ht="12.75" customHeight="1" x14ac:dyDescent="0.25">
      <c r="A111" s="133"/>
      <c r="B111" s="8"/>
      <c r="C111" s="8"/>
      <c r="D111" s="8"/>
      <c r="E111" s="8"/>
      <c r="F111" s="8"/>
      <c r="G111" s="8"/>
      <c r="H111" s="8"/>
      <c r="I111" s="8"/>
      <c r="J111" s="8"/>
      <c r="K111" s="8"/>
      <c r="L111" s="94"/>
      <c r="M111" s="8"/>
      <c r="N111" s="8"/>
      <c r="O111" s="8"/>
      <c r="P111" s="8"/>
      <c r="Q111" s="8"/>
      <c r="R111" s="8"/>
      <c r="S111" s="8"/>
      <c r="T111" s="8"/>
      <c r="U111" s="8"/>
      <c r="V111" s="8"/>
      <c r="W111" s="8"/>
      <c r="X111" s="8"/>
      <c r="Y111" s="8"/>
      <c r="Z111" s="8"/>
    </row>
    <row r="112" spans="1:26" ht="12.75" customHeight="1" x14ac:dyDescent="0.25">
      <c r="A112" s="133"/>
      <c r="B112" s="8"/>
      <c r="C112" s="8"/>
      <c r="D112" s="8"/>
      <c r="E112" s="8"/>
      <c r="F112" s="8"/>
      <c r="G112" s="8"/>
      <c r="H112" s="8"/>
      <c r="I112" s="8"/>
      <c r="J112" s="8"/>
      <c r="K112" s="8"/>
      <c r="L112" s="94"/>
      <c r="M112" s="8"/>
      <c r="N112" s="8"/>
      <c r="O112" s="8"/>
      <c r="P112" s="8"/>
      <c r="Q112" s="8"/>
      <c r="R112" s="8"/>
      <c r="S112" s="8"/>
      <c r="T112" s="8"/>
      <c r="U112" s="8"/>
      <c r="V112" s="8"/>
      <c r="W112" s="8"/>
      <c r="X112" s="8"/>
      <c r="Y112" s="8"/>
      <c r="Z112" s="8"/>
    </row>
    <row r="113" spans="1:26" ht="12.75" customHeight="1" x14ac:dyDescent="0.25">
      <c r="A113" s="133"/>
      <c r="B113" s="8"/>
      <c r="C113" s="8"/>
      <c r="D113" s="8"/>
      <c r="E113" s="8"/>
      <c r="F113" s="8"/>
      <c r="G113" s="8"/>
      <c r="H113" s="8"/>
      <c r="I113" s="8"/>
      <c r="J113" s="8"/>
      <c r="K113" s="8"/>
      <c r="L113" s="94"/>
      <c r="M113" s="8"/>
      <c r="N113" s="8"/>
      <c r="O113" s="8"/>
      <c r="P113" s="8"/>
      <c r="Q113" s="8"/>
      <c r="R113" s="8"/>
      <c r="S113" s="8"/>
      <c r="T113" s="8"/>
      <c r="U113" s="8"/>
      <c r="V113" s="8"/>
      <c r="W113" s="8"/>
      <c r="X113" s="8"/>
      <c r="Y113" s="8"/>
      <c r="Z113" s="8"/>
    </row>
    <row r="114" spans="1:26" ht="12.75" customHeight="1" x14ac:dyDescent="0.25">
      <c r="A114" s="133"/>
      <c r="B114" s="8"/>
      <c r="C114" s="8"/>
      <c r="D114" s="8"/>
      <c r="E114" s="8"/>
      <c r="F114" s="8"/>
      <c r="G114" s="8"/>
      <c r="H114" s="8"/>
      <c r="I114" s="8"/>
      <c r="J114" s="8"/>
      <c r="K114" s="8"/>
      <c r="L114" s="94"/>
      <c r="M114" s="8"/>
      <c r="N114" s="8"/>
      <c r="O114" s="8"/>
      <c r="P114" s="8"/>
      <c r="Q114" s="8"/>
      <c r="R114" s="8"/>
      <c r="S114" s="8"/>
      <c r="T114" s="8"/>
      <c r="U114" s="8"/>
      <c r="V114" s="8"/>
      <c r="W114" s="8"/>
      <c r="X114" s="8"/>
      <c r="Y114" s="8"/>
      <c r="Z114" s="8"/>
    </row>
    <row r="115" spans="1:26" ht="12.75" customHeight="1" x14ac:dyDescent="0.25">
      <c r="A115" s="133"/>
      <c r="B115" s="8"/>
      <c r="C115" s="8"/>
      <c r="D115" s="8"/>
      <c r="E115" s="8"/>
      <c r="F115" s="8"/>
      <c r="G115" s="8"/>
      <c r="H115" s="8"/>
      <c r="I115" s="8"/>
      <c r="J115" s="8"/>
      <c r="K115" s="8"/>
      <c r="L115" s="94"/>
      <c r="M115" s="8"/>
      <c r="N115" s="8"/>
      <c r="O115" s="8"/>
      <c r="P115" s="8"/>
      <c r="Q115" s="8"/>
      <c r="R115" s="8"/>
      <c r="S115" s="8"/>
      <c r="T115" s="8"/>
      <c r="U115" s="8"/>
      <c r="V115" s="8"/>
      <c r="W115" s="8"/>
      <c r="X115" s="8"/>
      <c r="Y115" s="8"/>
      <c r="Z115" s="8"/>
    </row>
    <row r="116" spans="1:26" ht="12.75" customHeight="1" x14ac:dyDescent="0.25">
      <c r="A116" s="133"/>
      <c r="B116" s="8"/>
      <c r="C116" s="8"/>
      <c r="D116" s="8"/>
      <c r="E116" s="8"/>
      <c r="F116" s="8"/>
      <c r="G116" s="8"/>
      <c r="H116" s="8"/>
      <c r="I116" s="8"/>
      <c r="J116" s="8"/>
      <c r="K116" s="8"/>
      <c r="L116" s="94"/>
      <c r="M116" s="8"/>
      <c r="N116" s="8"/>
      <c r="O116" s="8"/>
      <c r="P116" s="8"/>
      <c r="Q116" s="8"/>
      <c r="R116" s="8"/>
      <c r="S116" s="8"/>
      <c r="T116" s="8"/>
      <c r="U116" s="8"/>
      <c r="V116" s="8"/>
      <c r="W116" s="8"/>
      <c r="X116" s="8"/>
      <c r="Y116" s="8"/>
      <c r="Z116" s="8"/>
    </row>
    <row r="117" spans="1:26" ht="12.75" customHeight="1" x14ac:dyDescent="0.25">
      <c r="A117" s="133"/>
      <c r="B117" s="8"/>
      <c r="C117" s="8"/>
      <c r="D117" s="8"/>
      <c r="E117" s="8"/>
      <c r="F117" s="8"/>
      <c r="G117" s="8"/>
      <c r="H117" s="8"/>
      <c r="I117" s="8"/>
      <c r="J117" s="8"/>
      <c r="K117" s="8"/>
      <c r="L117" s="94"/>
      <c r="M117" s="8"/>
      <c r="N117" s="8"/>
      <c r="O117" s="8"/>
      <c r="P117" s="8"/>
      <c r="Q117" s="8"/>
      <c r="R117" s="8"/>
      <c r="S117" s="8"/>
      <c r="T117" s="8"/>
      <c r="U117" s="8"/>
      <c r="V117" s="8"/>
      <c r="W117" s="8"/>
      <c r="X117" s="8"/>
      <c r="Y117" s="8"/>
      <c r="Z117" s="8"/>
    </row>
    <row r="118" spans="1:26" ht="12.75" customHeight="1" x14ac:dyDescent="0.25">
      <c r="A118" s="133"/>
      <c r="B118" s="8"/>
      <c r="C118" s="8"/>
      <c r="D118" s="8"/>
      <c r="E118" s="8"/>
      <c r="F118" s="8"/>
      <c r="G118" s="8"/>
      <c r="H118" s="8"/>
      <c r="I118" s="8"/>
      <c r="J118" s="8"/>
      <c r="K118" s="8"/>
      <c r="L118" s="94"/>
      <c r="M118" s="8"/>
      <c r="N118" s="8"/>
      <c r="O118" s="8"/>
      <c r="P118" s="8"/>
      <c r="Q118" s="8"/>
      <c r="R118" s="8"/>
      <c r="S118" s="8"/>
      <c r="T118" s="8"/>
      <c r="U118" s="8"/>
      <c r="V118" s="8"/>
      <c r="W118" s="8"/>
      <c r="X118" s="8"/>
      <c r="Y118" s="8"/>
      <c r="Z118" s="8"/>
    </row>
    <row r="119" spans="1:26" ht="12.75" customHeight="1" x14ac:dyDescent="0.25">
      <c r="A119" s="133"/>
      <c r="B119" s="8"/>
      <c r="C119" s="8"/>
      <c r="D119" s="8"/>
      <c r="E119" s="8"/>
      <c r="F119" s="8"/>
      <c r="G119" s="8"/>
      <c r="H119" s="8"/>
      <c r="I119" s="8"/>
      <c r="J119" s="8"/>
      <c r="K119" s="8"/>
      <c r="L119" s="94"/>
      <c r="M119" s="8"/>
      <c r="N119" s="8"/>
      <c r="O119" s="8"/>
      <c r="P119" s="8"/>
      <c r="Q119" s="8"/>
      <c r="R119" s="8"/>
      <c r="S119" s="8"/>
      <c r="T119" s="8"/>
      <c r="U119" s="8"/>
      <c r="V119" s="8"/>
      <c r="W119" s="8"/>
      <c r="X119" s="8"/>
      <c r="Y119" s="8"/>
      <c r="Z119" s="8"/>
    </row>
    <row r="120" spans="1:26" ht="12.75" customHeight="1" x14ac:dyDescent="0.25">
      <c r="A120" s="133"/>
      <c r="B120" s="8"/>
      <c r="C120" s="8"/>
      <c r="D120" s="8"/>
      <c r="E120" s="8"/>
      <c r="F120" s="8"/>
      <c r="G120" s="8"/>
      <c r="H120" s="8"/>
      <c r="I120" s="8"/>
      <c r="J120" s="8"/>
      <c r="K120" s="8"/>
      <c r="L120" s="94"/>
      <c r="M120" s="8"/>
      <c r="N120" s="8"/>
      <c r="O120" s="8"/>
      <c r="P120" s="8"/>
      <c r="Q120" s="8"/>
      <c r="R120" s="8"/>
      <c r="S120" s="8"/>
      <c r="T120" s="8"/>
      <c r="U120" s="8"/>
      <c r="V120" s="8"/>
      <c r="W120" s="8"/>
      <c r="X120" s="8"/>
      <c r="Y120" s="8"/>
      <c r="Z120" s="8"/>
    </row>
    <row r="121" spans="1:26" ht="12.75" customHeight="1" x14ac:dyDescent="0.25">
      <c r="A121" s="133"/>
      <c r="B121" s="8"/>
      <c r="C121" s="8"/>
      <c r="D121" s="8"/>
      <c r="E121" s="8"/>
      <c r="F121" s="8"/>
      <c r="G121" s="8"/>
      <c r="H121" s="8"/>
      <c r="I121" s="8"/>
      <c r="J121" s="8"/>
      <c r="K121" s="8"/>
      <c r="L121" s="94"/>
      <c r="M121" s="8"/>
      <c r="N121" s="8"/>
      <c r="O121" s="8"/>
      <c r="P121" s="8"/>
      <c r="Q121" s="8"/>
      <c r="R121" s="8"/>
      <c r="S121" s="8"/>
      <c r="T121" s="8"/>
      <c r="U121" s="8"/>
      <c r="V121" s="8"/>
      <c r="W121" s="8"/>
      <c r="X121" s="8"/>
      <c r="Y121" s="8"/>
      <c r="Z121" s="8"/>
    </row>
    <row r="122" spans="1:26" ht="12.75" customHeight="1" x14ac:dyDescent="0.25">
      <c r="A122" s="133"/>
      <c r="B122" s="8"/>
      <c r="C122" s="8"/>
      <c r="D122" s="8"/>
      <c r="E122" s="8"/>
      <c r="F122" s="8"/>
      <c r="G122" s="8"/>
      <c r="H122" s="8"/>
      <c r="I122" s="8"/>
      <c r="J122" s="8"/>
      <c r="K122" s="8"/>
      <c r="L122" s="94"/>
      <c r="M122" s="8"/>
      <c r="N122" s="8"/>
      <c r="O122" s="8"/>
      <c r="P122" s="8"/>
      <c r="Q122" s="8"/>
      <c r="R122" s="8"/>
      <c r="S122" s="8"/>
      <c r="T122" s="8"/>
      <c r="U122" s="8"/>
      <c r="V122" s="8"/>
      <c r="W122" s="8"/>
      <c r="X122" s="8"/>
      <c r="Y122" s="8"/>
      <c r="Z122" s="8"/>
    </row>
    <row r="123" spans="1:26" ht="12.75" customHeight="1" x14ac:dyDescent="0.25">
      <c r="A123" s="133"/>
      <c r="B123" s="8"/>
      <c r="C123" s="8"/>
      <c r="D123" s="8"/>
      <c r="E123" s="8"/>
      <c r="F123" s="8"/>
      <c r="G123" s="8"/>
      <c r="H123" s="8"/>
      <c r="I123" s="8"/>
      <c r="J123" s="8"/>
      <c r="K123" s="8"/>
      <c r="L123" s="94"/>
      <c r="M123" s="8"/>
      <c r="N123" s="8"/>
      <c r="O123" s="8"/>
      <c r="P123" s="8"/>
      <c r="Q123" s="8"/>
      <c r="R123" s="8"/>
      <c r="S123" s="8"/>
      <c r="T123" s="8"/>
      <c r="U123" s="8"/>
      <c r="V123" s="8"/>
      <c r="W123" s="8"/>
      <c r="X123" s="8"/>
      <c r="Y123" s="8"/>
      <c r="Z123" s="8"/>
    </row>
    <row r="124" spans="1:26" ht="12.75" customHeight="1" x14ac:dyDescent="0.25">
      <c r="A124" s="133"/>
      <c r="B124" s="8"/>
      <c r="C124" s="8"/>
      <c r="D124" s="8"/>
      <c r="E124" s="8"/>
      <c r="F124" s="8"/>
      <c r="G124" s="8"/>
      <c r="H124" s="8"/>
      <c r="I124" s="8"/>
      <c r="J124" s="8"/>
      <c r="K124" s="8"/>
      <c r="L124" s="94"/>
      <c r="M124" s="8"/>
      <c r="N124" s="8"/>
      <c r="O124" s="8"/>
      <c r="P124" s="8"/>
      <c r="Q124" s="8"/>
      <c r="R124" s="8"/>
      <c r="S124" s="8"/>
      <c r="T124" s="8"/>
      <c r="U124" s="8"/>
      <c r="V124" s="8"/>
      <c r="W124" s="8"/>
      <c r="X124" s="8"/>
      <c r="Y124" s="8"/>
      <c r="Z124" s="8"/>
    </row>
    <row r="125" spans="1:26" ht="12.75" customHeight="1" x14ac:dyDescent="0.25">
      <c r="A125" s="133"/>
      <c r="B125" s="8"/>
      <c r="C125" s="8"/>
      <c r="D125" s="8"/>
      <c r="E125" s="8"/>
      <c r="F125" s="8"/>
      <c r="G125" s="8"/>
      <c r="H125" s="8"/>
      <c r="I125" s="8"/>
      <c r="J125" s="8"/>
      <c r="K125" s="8"/>
      <c r="L125" s="94"/>
      <c r="M125" s="8"/>
      <c r="N125" s="8"/>
      <c r="O125" s="8"/>
      <c r="P125" s="8"/>
      <c r="Q125" s="8"/>
      <c r="R125" s="8"/>
      <c r="S125" s="8"/>
      <c r="T125" s="8"/>
      <c r="U125" s="8"/>
      <c r="V125" s="8"/>
      <c r="W125" s="8"/>
      <c r="X125" s="8"/>
      <c r="Y125" s="8"/>
      <c r="Z125" s="8"/>
    </row>
    <row r="126" spans="1:26" ht="12.75" customHeight="1" x14ac:dyDescent="0.25">
      <c r="A126" s="133"/>
      <c r="B126" s="8"/>
      <c r="C126" s="8"/>
      <c r="D126" s="8"/>
      <c r="E126" s="8"/>
      <c r="F126" s="8"/>
      <c r="G126" s="8"/>
      <c r="H126" s="8"/>
      <c r="I126" s="8"/>
      <c r="J126" s="8"/>
      <c r="K126" s="8"/>
      <c r="L126" s="94"/>
      <c r="M126" s="8"/>
      <c r="N126" s="8"/>
      <c r="O126" s="8"/>
      <c r="P126" s="8"/>
      <c r="Q126" s="8"/>
      <c r="R126" s="8"/>
      <c r="S126" s="8"/>
      <c r="T126" s="8"/>
      <c r="U126" s="8"/>
      <c r="V126" s="8"/>
      <c r="W126" s="8"/>
      <c r="X126" s="8"/>
      <c r="Y126" s="8"/>
      <c r="Z126" s="8"/>
    </row>
    <row r="127" spans="1:26" ht="12.75" customHeight="1" x14ac:dyDescent="0.25">
      <c r="A127" s="133"/>
      <c r="B127" s="8"/>
      <c r="C127" s="8"/>
      <c r="D127" s="8"/>
      <c r="E127" s="8"/>
      <c r="F127" s="8"/>
      <c r="G127" s="8"/>
      <c r="H127" s="8"/>
      <c r="I127" s="8"/>
      <c r="J127" s="8"/>
      <c r="K127" s="8"/>
      <c r="L127" s="94"/>
      <c r="M127" s="8"/>
      <c r="N127" s="8"/>
      <c r="O127" s="8"/>
      <c r="P127" s="8"/>
      <c r="Q127" s="8"/>
      <c r="R127" s="8"/>
      <c r="S127" s="8"/>
      <c r="T127" s="8"/>
      <c r="U127" s="8"/>
      <c r="V127" s="8"/>
      <c r="W127" s="8"/>
      <c r="X127" s="8"/>
      <c r="Y127" s="8"/>
      <c r="Z127" s="8"/>
    </row>
    <row r="128" spans="1:26" ht="12.75" customHeight="1" x14ac:dyDescent="0.25">
      <c r="A128" s="133"/>
      <c r="B128" s="8"/>
      <c r="C128" s="8"/>
      <c r="D128" s="8"/>
      <c r="E128" s="8"/>
      <c r="F128" s="8"/>
      <c r="G128" s="8"/>
      <c r="H128" s="8"/>
      <c r="I128" s="8"/>
      <c r="J128" s="8"/>
      <c r="K128" s="8"/>
      <c r="L128" s="94"/>
      <c r="M128" s="8"/>
      <c r="N128" s="8"/>
      <c r="O128" s="8"/>
      <c r="P128" s="8"/>
      <c r="Q128" s="8"/>
      <c r="R128" s="8"/>
      <c r="S128" s="8"/>
      <c r="T128" s="8"/>
      <c r="U128" s="8"/>
      <c r="V128" s="8"/>
      <c r="W128" s="8"/>
      <c r="X128" s="8"/>
      <c r="Y128" s="8"/>
      <c r="Z128" s="8"/>
    </row>
    <row r="129" spans="1:26" ht="12.75" customHeight="1" x14ac:dyDescent="0.25">
      <c r="A129" s="133"/>
      <c r="B129" s="8"/>
      <c r="C129" s="8"/>
      <c r="D129" s="8"/>
      <c r="E129" s="8"/>
      <c r="F129" s="8"/>
      <c r="G129" s="8"/>
      <c r="H129" s="8"/>
      <c r="I129" s="8"/>
      <c r="J129" s="8"/>
      <c r="K129" s="8"/>
      <c r="L129" s="94"/>
      <c r="M129" s="8"/>
      <c r="N129" s="8"/>
      <c r="O129" s="8"/>
      <c r="P129" s="8"/>
      <c r="Q129" s="8"/>
      <c r="R129" s="8"/>
      <c r="S129" s="8"/>
      <c r="T129" s="8"/>
      <c r="U129" s="8"/>
      <c r="V129" s="8"/>
      <c r="W129" s="8"/>
      <c r="X129" s="8"/>
      <c r="Y129" s="8"/>
      <c r="Z129" s="8"/>
    </row>
    <row r="130" spans="1:26" ht="12.75" customHeight="1" x14ac:dyDescent="0.25">
      <c r="A130" s="133"/>
      <c r="B130" s="8"/>
      <c r="C130" s="8"/>
      <c r="D130" s="8"/>
      <c r="E130" s="8"/>
      <c r="F130" s="8"/>
      <c r="G130" s="8"/>
      <c r="H130" s="8"/>
      <c r="I130" s="8"/>
      <c r="J130" s="8"/>
      <c r="K130" s="8"/>
      <c r="L130" s="94"/>
      <c r="M130" s="8"/>
      <c r="N130" s="8"/>
      <c r="O130" s="8"/>
      <c r="P130" s="8"/>
      <c r="Q130" s="8"/>
      <c r="R130" s="8"/>
      <c r="S130" s="8"/>
      <c r="T130" s="8"/>
      <c r="U130" s="8"/>
      <c r="V130" s="8"/>
      <c r="W130" s="8"/>
      <c r="X130" s="8"/>
      <c r="Y130" s="8"/>
      <c r="Z130" s="8"/>
    </row>
    <row r="131" spans="1:26" ht="12.75" customHeight="1" x14ac:dyDescent="0.25">
      <c r="A131" s="133"/>
      <c r="B131" s="8"/>
      <c r="C131" s="8"/>
      <c r="D131" s="8"/>
      <c r="E131" s="8"/>
      <c r="F131" s="8"/>
      <c r="G131" s="8"/>
      <c r="H131" s="8"/>
      <c r="I131" s="8"/>
      <c r="J131" s="8"/>
      <c r="K131" s="8"/>
      <c r="L131" s="94"/>
      <c r="M131" s="8"/>
      <c r="N131" s="8"/>
      <c r="O131" s="8"/>
      <c r="P131" s="8"/>
      <c r="Q131" s="8"/>
      <c r="R131" s="8"/>
      <c r="S131" s="8"/>
      <c r="T131" s="8"/>
      <c r="U131" s="8"/>
      <c r="V131" s="8"/>
      <c r="W131" s="8"/>
      <c r="X131" s="8"/>
      <c r="Y131" s="8"/>
      <c r="Z131" s="8"/>
    </row>
    <row r="132" spans="1:26" ht="12.75" customHeight="1" x14ac:dyDescent="0.25">
      <c r="A132" s="133"/>
      <c r="B132" s="8"/>
      <c r="C132" s="8"/>
      <c r="D132" s="8"/>
      <c r="E132" s="8"/>
      <c r="F132" s="8"/>
      <c r="G132" s="8"/>
      <c r="H132" s="8"/>
      <c r="I132" s="8"/>
      <c r="J132" s="8"/>
      <c r="K132" s="8"/>
      <c r="L132" s="94"/>
      <c r="M132" s="8"/>
      <c r="N132" s="8"/>
      <c r="O132" s="8"/>
      <c r="P132" s="8"/>
      <c r="Q132" s="8"/>
      <c r="R132" s="8"/>
      <c r="S132" s="8"/>
      <c r="T132" s="8"/>
      <c r="U132" s="8"/>
      <c r="V132" s="8"/>
      <c r="W132" s="8"/>
      <c r="X132" s="8"/>
      <c r="Y132" s="8"/>
      <c r="Z132" s="8"/>
    </row>
    <row r="133" spans="1:26" ht="12.75" customHeight="1" x14ac:dyDescent="0.25">
      <c r="A133" s="133"/>
      <c r="B133" s="8"/>
      <c r="C133" s="8"/>
      <c r="D133" s="8"/>
      <c r="E133" s="8"/>
      <c r="F133" s="8"/>
      <c r="G133" s="8"/>
      <c r="H133" s="8"/>
      <c r="I133" s="8"/>
      <c r="J133" s="8"/>
      <c r="K133" s="8"/>
      <c r="L133" s="94"/>
      <c r="M133" s="8"/>
      <c r="N133" s="8"/>
      <c r="O133" s="8"/>
      <c r="P133" s="8"/>
      <c r="Q133" s="8"/>
      <c r="R133" s="8"/>
      <c r="S133" s="8"/>
      <c r="T133" s="8"/>
      <c r="U133" s="8"/>
      <c r="V133" s="8"/>
      <c r="W133" s="8"/>
      <c r="X133" s="8"/>
      <c r="Y133" s="8"/>
      <c r="Z133" s="8"/>
    </row>
    <row r="134" spans="1:26" ht="12.75" customHeight="1" x14ac:dyDescent="0.25">
      <c r="A134" s="133"/>
      <c r="B134" s="8"/>
      <c r="C134" s="8"/>
      <c r="D134" s="8"/>
      <c r="E134" s="8"/>
      <c r="F134" s="8"/>
      <c r="G134" s="8"/>
      <c r="H134" s="8"/>
      <c r="I134" s="8"/>
      <c r="J134" s="8"/>
      <c r="K134" s="8"/>
      <c r="L134" s="94"/>
      <c r="M134" s="8"/>
      <c r="N134" s="8"/>
      <c r="O134" s="8"/>
      <c r="P134" s="8"/>
      <c r="Q134" s="8"/>
      <c r="R134" s="8"/>
      <c r="S134" s="8"/>
      <c r="T134" s="8"/>
      <c r="U134" s="8"/>
      <c r="V134" s="8"/>
      <c r="W134" s="8"/>
      <c r="X134" s="8"/>
      <c r="Y134" s="8"/>
      <c r="Z134" s="8"/>
    </row>
    <row r="135" spans="1:26" ht="12.75" customHeight="1" x14ac:dyDescent="0.25">
      <c r="A135" s="133"/>
      <c r="B135" s="8"/>
      <c r="C135" s="8"/>
      <c r="D135" s="8"/>
      <c r="E135" s="8"/>
      <c r="F135" s="8"/>
      <c r="G135" s="8"/>
      <c r="H135" s="8"/>
      <c r="I135" s="8"/>
      <c r="J135" s="8"/>
      <c r="K135" s="8"/>
      <c r="L135" s="94"/>
      <c r="M135" s="8"/>
      <c r="N135" s="8"/>
      <c r="O135" s="8"/>
      <c r="P135" s="8"/>
      <c r="Q135" s="8"/>
      <c r="R135" s="8"/>
      <c r="S135" s="8"/>
      <c r="T135" s="8"/>
      <c r="U135" s="8"/>
      <c r="V135" s="8"/>
      <c r="W135" s="8"/>
      <c r="X135" s="8"/>
      <c r="Y135" s="8"/>
      <c r="Z135" s="8"/>
    </row>
    <row r="136" spans="1:26" ht="12.75" customHeight="1" x14ac:dyDescent="0.25">
      <c r="A136" s="133"/>
      <c r="B136" s="8"/>
      <c r="C136" s="8"/>
      <c r="D136" s="8"/>
      <c r="E136" s="8"/>
      <c r="F136" s="8"/>
      <c r="G136" s="8"/>
      <c r="H136" s="8"/>
      <c r="I136" s="8"/>
      <c r="J136" s="8"/>
      <c r="K136" s="8"/>
      <c r="L136" s="94"/>
      <c r="M136" s="8"/>
      <c r="N136" s="8"/>
      <c r="O136" s="8"/>
      <c r="P136" s="8"/>
      <c r="Q136" s="8"/>
      <c r="R136" s="8"/>
      <c r="S136" s="8"/>
      <c r="T136" s="8"/>
      <c r="U136" s="8"/>
      <c r="V136" s="8"/>
      <c r="W136" s="8"/>
      <c r="X136" s="8"/>
      <c r="Y136" s="8"/>
      <c r="Z136" s="8"/>
    </row>
    <row r="137" spans="1:26" ht="12.75" customHeight="1" x14ac:dyDescent="0.25">
      <c r="A137" s="133"/>
      <c r="B137" s="8"/>
      <c r="C137" s="8"/>
      <c r="D137" s="8"/>
      <c r="E137" s="8"/>
      <c r="F137" s="8"/>
      <c r="G137" s="8"/>
      <c r="H137" s="8"/>
      <c r="I137" s="8"/>
      <c r="J137" s="8"/>
      <c r="K137" s="8"/>
      <c r="L137" s="94"/>
      <c r="M137" s="8"/>
      <c r="N137" s="8"/>
      <c r="O137" s="8"/>
      <c r="P137" s="8"/>
      <c r="Q137" s="8"/>
      <c r="R137" s="8"/>
      <c r="S137" s="8"/>
      <c r="T137" s="8"/>
      <c r="U137" s="8"/>
      <c r="V137" s="8"/>
      <c r="W137" s="8"/>
      <c r="X137" s="8"/>
      <c r="Y137" s="8"/>
      <c r="Z137" s="8"/>
    </row>
    <row r="138" spans="1:26" ht="12.75" customHeight="1" x14ac:dyDescent="0.25">
      <c r="A138" s="133"/>
      <c r="B138" s="8"/>
      <c r="C138" s="8"/>
      <c r="D138" s="8"/>
      <c r="E138" s="8"/>
      <c r="F138" s="8"/>
      <c r="G138" s="8"/>
      <c r="H138" s="8"/>
      <c r="I138" s="8"/>
      <c r="J138" s="8"/>
      <c r="K138" s="8"/>
      <c r="L138" s="94"/>
      <c r="M138" s="8"/>
      <c r="N138" s="8"/>
      <c r="O138" s="8"/>
      <c r="P138" s="8"/>
      <c r="Q138" s="8"/>
      <c r="R138" s="8"/>
      <c r="S138" s="8"/>
      <c r="T138" s="8"/>
      <c r="U138" s="8"/>
      <c r="V138" s="8"/>
      <c r="W138" s="8"/>
      <c r="X138" s="8"/>
      <c r="Y138" s="8"/>
      <c r="Z138" s="8"/>
    </row>
    <row r="139" spans="1:26" ht="12.75" customHeight="1" x14ac:dyDescent="0.25">
      <c r="A139" s="133"/>
      <c r="B139" s="8"/>
      <c r="C139" s="8"/>
      <c r="D139" s="8"/>
      <c r="E139" s="8"/>
      <c r="F139" s="8"/>
      <c r="G139" s="8"/>
      <c r="H139" s="8"/>
      <c r="I139" s="8"/>
      <c r="J139" s="8"/>
      <c r="K139" s="8"/>
      <c r="L139" s="94"/>
      <c r="M139" s="8"/>
      <c r="N139" s="8"/>
      <c r="O139" s="8"/>
      <c r="P139" s="8"/>
      <c r="Q139" s="8"/>
      <c r="R139" s="8"/>
      <c r="S139" s="8"/>
      <c r="T139" s="8"/>
      <c r="U139" s="8"/>
      <c r="V139" s="8"/>
      <c r="W139" s="8"/>
      <c r="X139" s="8"/>
      <c r="Y139" s="8"/>
      <c r="Z139" s="8"/>
    </row>
    <row r="140" spans="1:26" ht="12.75" customHeight="1" x14ac:dyDescent="0.25">
      <c r="A140" s="133"/>
      <c r="B140" s="8"/>
      <c r="C140" s="8"/>
      <c r="D140" s="8"/>
      <c r="E140" s="8"/>
      <c r="F140" s="8"/>
      <c r="G140" s="8"/>
      <c r="H140" s="8"/>
      <c r="I140" s="8"/>
      <c r="J140" s="8"/>
      <c r="K140" s="8"/>
      <c r="L140" s="94"/>
      <c r="M140" s="8"/>
      <c r="N140" s="8"/>
      <c r="O140" s="8"/>
      <c r="P140" s="8"/>
      <c r="Q140" s="8"/>
      <c r="R140" s="8"/>
      <c r="S140" s="8"/>
      <c r="T140" s="8"/>
      <c r="U140" s="8"/>
      <c r="V140" s="8"/>
      <c r="W140" s="8"/>
      <c r="X140" s="8"/>
      <c r="Y140" s="8"/>
      <c r="Z140" s="8"/>
    </row>
    <row r="141" spans="1:26" ht="12.75" customHeight="1" x14ac:dyDescent="0.25">
      <c r="A141" s="133"/>
      <c r="B141" s="8"/>
      <c r="C141" s="8"/>
      <c r="D141" s="8"/>
      <c r="E141" s="8"/>
      <c r="F141" s="8"/>
      <c r="G141" s="8"/>
      <c r="H141" s="8"/>
      <c r="I141" s="8"/>
      <c r="J141" s="8"/>
      <c r="K141" s="8"/>
      <c r="L141" s="94"/>
      <c r="M141" s="8"/>
      <c r="N141" s="8"/>
      <c r="O141" s="8"/>
      <c r="P141" s="8"/>
      <c r="Q141" s="8"/>
      <c r="R141" s="8"/>
      <c r="S141" s="8"/>
      <c r="T141" s="8"/>
      <c r="U141" s="8"/>
      <c r="V141" s="8"/>
      <c r="W141" s="8"/>
      <c r="X141" s="8"/>
      <c r="Y141" s="8"/>
      <c r="Z141" s="8"/>
    </row>
    <row r="142" spans="1:26" ht="12.75" customHeight="1" x14ac:dyDescent="0.25">
      <c r="A142" s="133"/>
      <c r="B142" s="8"/>
      <c r="C142" s="8"/>
      <c r="D142" s="8"/>
      <c r="E142" s="8"/>
      <c r="F142" s="8"/>
      <c r="G142" s="8"/>
      <c r="H142" s="8"/>
      <c r="I142" s="8"/>
      <c r="J142" s="8"/>
      <c r="K142" s="8"/>
      <c r="L142" s="94"/>
      <c r="M142" s="8"/>
      <c r="N142" s="8"/>
      <c r="O142" s="8"/>
      <c r="P142" s="8"/>
      <c r="Q142" s="8"/>
      <c r="R142" s="8"/>
      <c r="S142" s="8"/>
      <c r="T142" s="8"/>
      <c r="U142" s="8"/>
      <c r="V142" s="8"/>
      <c r="W142" s="8"/>
      <c r="X142" s="8"/>
      <c r="Y142" s="8"/>
      <c r="Z142" s="8"/>
    </row>
    <row r="143" spans="1:26" ht="12.75" customHeight="1" x14ac:dyDescent="0.25">
      <c r="A143" s="133"/>
      <c r="B143" s="8"/>
      <c r="C143" s="8"/>
      <c r="D143" s="8"/>
      <c r="E143" s="8"/>
      <c r="F143" s="8"/>
      <c r="G143" s="8"/>
      <c r="H143" s="8"/>
      <c r="I143" s="8"/>
      <c r="J143" s="8"/>
      <c r="K143" s="8"/>
      <c r="L143" s="94"/>
      <c r="M143" s="8"/>
      <c r="N143" s="8"/>
      <c r="O143" s="8"/>
      <c r="P143" s="8"/>
      <c r="Q143" s="8"/>
      <c r="R143" s="8"/>
      <c r="S143" s="8"/>
      <c r="T143" s="8"/>
      <c r="U143" s="8"/>
      <c r="V143" s="8"/>
      <c r="W143" s="8"/>
      <c r="X143" s="8"/>
      <c r="Y143" s="8"/>
      <c r="Z143" s="8"/>
    </row>
    <row r="144" spans="1:26" ht="12.75" customHeight="1" x14ac:dyDescent="0.25">
      <c r="A144" s="133"/>
      <c r="B144" s="8"/>
      <c r="C144" s="8"/>
      <c r="D144" s="8"/>
      <c r="E144" s="8"/>
      <c r="F144" s="8"/>
      <c r="G144" s="8"/>
      <c r="H144" s="8"/>
      <c r="I144" s="8"/>
      <c r="J144" s="8"/>
      <c r="K144" s="8"/>
      <c r="L144" s="94"/>
      <c r="M144" s="8"/>
      <c r="N144" s="8"/>
      <c r="O144" s="8"/>
      <c r="P144" s="8"/>
      <c r="Q144" s="8"/>
      <c r="R144" s="8"/>
      <c r="S144" s="8"/>
      <c r="T144" s="8"/>
      <c r="U144" s="8"/>
      <c r="V144" s="8"/>
      <c r="W144" s="8"/>
      <c r="X144" s="8"/>
      <c r="Y144" s="8"/>
      <c r="Z144" s="8"/>
    </row>
    <row r="145" spans="1:26" ht="12.75" customHeight="1" x14ac:dyDescent="0.25">
      <c r="A145" s="133"/>
      <c r="B145" s="8"/>
      <c r="C145" s="8"/>
      <c r="D145" s="8"/>
      <c r="E145" s="8"/>
      <c r="F145" s="8"/>
      <c r="G145" s="8"/>
      <c r="H145" s="8"/>
      <c r="I145" s="8"/>
      <c r="J145" s="8"/>
      <c r="K145" s="8"/>
      <c r="L145" s="94"/>
      <c r="M145" s="8"/>
      <c r="N145" s="8"/>
      <c r="O145" s="8"/>
      <c r="P145" s="8"/>
      <c r="Q145" s="8"/>
      <c r="R145" s="8"/>
      <c r="S145" s="8"/>
      <c r="T145" s="8"/>
      <c r="U145" s="8"/>
      <c r="V145" s="8"/>
      <c r="W145" s="8"/>
      <c r="X145" s="8"/>
      <c r="Y145" s="8"/>
      <c r="Z145" s="8"/>
    </row>
    <row r="146" spans="1:26" ht="12.75" customHeight="1" x14ac:dyDescent="0.25">
      <c r="A146" s="133"/>
      <c r="B146" s="8"/>
      <c r="C146" s="8"/>
      <c r="D146" s="8"/>
      <c r="E146" s="8"/>
      <c r="F146" s="8"/>
      <c r="G146" s="8"/>
      <c r="H146" s="8"/>
      <c r="I146" s="8"/>
      <c r="J146" s="8"/>
      <c r="K146" s="8"/>
      <c r="L146" s="94"/>
      <c r="M146" s="8"/>
      <c r="N146" s="8"/>
      <c r="O146" s="8"/>
      <c r="P146" s="8"/>
      <c r="Q146" s="8"/>
      <c r="R146" s="8"/>
      <c r="S146" s="8"/>
      <c r="T146" s="8"/>
      <c r="U146" s="8"/>
      <c r="V146" s="8"/>
      <c r="W146" s="8"/>
      <c r="X146" s="8"/>
      <c r="Y146" s="8"/>
      <c r="Z146" s="8"/>
    </row>
    <row r="147" spans="1:26" ht="12.75" customHeight="1" x14ac:dyDescent="0.25">
      <c r="A147" s="133"/>
      <c r="B147" s="8"/>
      <c r="C147" s="8"/>
      <c r="D147" s="8"/>
      <c r="E147" s="8"/>
      <c r="F147" s="8"/>
      <c r="G147" s="8"/>
      <c r="H147" s="8"/>
      <c r="I147" s="8"/>
      <c r="J147" s="8"/>
      <c r="K147" s="8"/>
      <c r="L147" s="94"/>
      <c r="M147" s="8"/>
      <c r="N147" s="8"/>
      <c r="O147" s="8"/>
      <c r="P147" s="8"/>
      <c r="Q147" s="8"/>
      <c r="R147" s="8"/>
      <c r="S147" s="8"/>
      <c r="T147" s="8"/>
      <c r="U147" s="8"/>
      <c r="V147" s="8"/>
      <c r="W147" s="8"/>
      <c r="X147" s="8"/>
      <c r="Y147" s="8"/>
      <c r="Z147" s="8"/>
    </row>
    <row r="148" spans="1:26" ht="12.75" customHeight="1" x14ac:dyDescent="0.25">
      <c r="A148" s="133"/>
      <c r="B148" s="8"/>
      <c r="C148" s="8"/>
      <c r="D148" s="8"/>
      <c r="E148" s="8"/>
      <c r="F148" s="8"/>
      <c r="G148" s="8"/>
      <c r="H148" s="8"/>
      <c r="I148" s="8"/>
      <c r="J148" s="8"/>
      <c r="K148" s="8"/>
      <c r="L148" s="94"/>
      <c r="M148" s="8"/>
      <c r="N148" s="8"/>
      <c r="O148" s="8"/>
      <c r="P148" s="8"/>
      <c r="Q148" s="8"/>
      <c r="R148" s="8"/>
      <c r="S148" s="8"/>
      <c r="T148" s="8"/>
      <c r="U148" s="8"/>
      <c r="V148" s="8"/>
      <c r="W148" s="8"/>
      <c r="X148" s="8"/>
      <c r="Y148" s="8"/>
      <c r="Z148" s="8"/>
    </row>
    <row r="149" spans="1:26" ht="12.75" customHeight="1" x14ac:dyDescent="0.25">
      <c r="A149" s="133"/>
      <c r="B149" s="8"/>
      <c r="C149" s="8"/>
      <c r="D149" s="8"/>
      <c r="E149" s="8"/>
      <c r="F149" s="8"/>
      <c r="G149" s="8"/>
      <c r="H149" s="8"/>
      <c r="I149" s="8"/>
      <c r="J149" s="8"/>
      <c r="K149" s="8"/>
      <c r="L149" s="94"/>
      <c r="M149" s="8"/>
      <c r="N149" s="8"/>
      <c r="O149" s="8"/>
      <c r="P149" s="8"/>
      <c r="Q149" s="8"/>
      <c r="R149" s="8"/>
      <c r="S149" s="8"/>
      <c r="T149" s="8"/>
      <c r="U149" s="8"/>
      <c r="V149" s="8"/>
      <c r="W149" s="8"/>
      <c r="X149" s="8"/>
      <c r="Y149" s="8"/>
      <c r="Z149" s="8"/>
    </row>
    <row r="150" spans="1:26" ht="12.75" customHeight="1" x14ac:dyDescent="0.25">
      <c r="A150" s="133"/>
      <c r="B150" s="8"/>
      <c r="C150" s="8"/>
      <c r="D150" s="8"/>
      <c r="E150" s="8"/>
      <c r="F150" s="8"/>
      <c r="G150" s="8"/>
      <c r="H150" s="8"/>
      <c r="I150" s="8"/>
      <c r="J150" s="8"/>
      <c r="K150" s="8"/>
      <c r="L150" s="94"/>
      <c r="M150" s="8"/>
      <c r="N150" s="8"/>
      <c r="O150" s="8"/>
      <c r="P150" s="8"/>
      <c r="Q150" s="8"/>
      <c r="R150" s="8"/>
      <c r="S150" s="8"/>
      <c r="T150" s="8"/>
      <c r="U150" s="8"/>
      <c r="V150" s="8"/>
      <c r="W150" s="8"/>
      <c r="X150" s="8"/>
      <c r="Y150" s="8"/>
      <c r="Z150" s="8"/>
    </row>
    <row r="151" spans="1:26" ht="12.75" customHeight="1" x14ac:dyDescent="0.25">
      <c r="A151" s="133"/>
      <c r="B151" s="8"/>
      <c r="C151" s="8"/>
      <c r="D151" s="8"/>
      <c r="E151" s="8"/>
      <c r="F151" s="8"/>
      <c r="G151" s="8"/>
      <c r="H151" s="8"/>
      <c r="I151" s="8"/>
      <c r="J151" s="8"/>
      <c r="K151" s="8"/>
      <c r="L151" s="94"/>
      <c r="M151" s="8"/>
      <c r="N151" s="8"/>
      <c r="O151" s="8"/>
      <c r="P151" s="8"/>
      <c r="Q151" s="8"/>
      <c r="R151" s="8"/>
      <c r="S151" s="8"/>
      <c r="T151" s="8"/>
      <c r="U151" s="8"/>
      <c r="V151" s="8"/>
      <c r="W151" s="8"/>
      <c r="X151" s="8"/>
      <c r="Y151" s="8"/>
      <c r="Z151" s="8"/>
    </row>
    <row r="152" spans="1:26" ht="12.75" customHeight="1" x14ac:dyDescent="0.25">
      <c r="A152" s="133"/>
      <c r="B152" s="8"/>
      <c r="C152" s="8"/>
      <c r="D152" s="8"/>
      <c r="E152" s="8"/>
      <c r="F152" s="8"/>
      <c r="G152" s="8"/>
      <c r="H152" s="8"/>
      <c r="I152" s="8"/>
      <c r="J152" s="8"/>
      <c r="K152" s="8"/>
      <c r="L152" s="94"/>
      <c r="M152" s="8"/>
      <c r="N152" s="8"/>
      <c r="O152" s="8"/>
      <c r="P152" s="8"/>
      <c r="Q152" s="8"/>
      <c r="R152" s="8"/>
      <c r="S152" s="8"/>
      <c r="T152" s="8"/>
      <c r="U152" s="8"/>
      <c r="V152" s="8"/>
      <c r="W152" s="8"/>
      <c r="X152" s="8"/>
      <c r="Y152" s="8"/>
      <c r="Z152" s="8"/>
    </row>
    <row r="153" spans="1:26" ht="12.75" customHeight="1" x14ac:dyDescent="0.25">
      <c r="A153" s="133"/>
      <c r="B153" s="8"/>
      <c r="C153" s="8"/>
      <c r="D153" s="8"/>
      <c r="E153" s="8"/>
      <c r="F153" s="8"/>
      <c r="G153" s="8"/>
      <c r="H153" s="8"/>
      <c r="I153" s="8"/>
      <c r="J153" s="8"/>
      <c r="K153" s="8"/>
      <c r="L153" s="94"/>
      <c r="M153" s="8"/>
      <c r="N153" s="8"/>
      <c r="O153" s="8"/>
      <c r="P153" s="8"/>
      <c r="Q153" s="8"/>
      <c r="R153" s="8"/>
      <c r="S153" s="8"/>
      <c r="T153" s="8"/>
      <c r="U153" s="8"/>
      <c r="V153" s="8"/>
      <c r="W153" s="8"/>
      <c r="X153" s="8"/>
      <c r="Y153" s="8"/>
      <c r="Z153" s="8"/>
    </row>
    <row r="154" spans="1:26" ht="12.75" customHeight="1" x14ac:dyDescent="0.25">
      <c r="A154" s="133"/>
      <c r="B154" s="8"/>
      <c r="C154" s="8"/>
      <c r="D154" s="8"/>
      <c r="E154" s="8"/>
      <c r="F154" s="8"/>
      <c r="G154" s="8"/>
      <c r="H154" s="8"/>
      <c r="I154" s="8"/>
      <c r="J154" s="8"/>
      <c r="K154" s="8"/>
      <c r="L154" s="94"/>
      <c r="M154" s="8"/>
      <c r="N154" s="8"/>
      <c r="O154" s="8"/>
      <c r="P154" s="8"/>
      <c r="Q154" s="8"/>
      <c r="R154" s="8"/>
      <c r="S154" s="8"/>
      <c r="T154" s="8"/>
      <c r="U154" s="8"/>
      <c r="V154" s="8"/>
      <c r="W154" s="8"/>
      <c r="X154" s="8"/>
      <c r="Y154" s="8"/>
      <c r="Z154" s="8"/>
    </row>
    <row r="155" spans="1:26" ht="12.75" customHeight="1" x14ac:dyDescent="0.25">
      <c r="A155" s="133"/>
      <c r="B155" s="8"/>
      <c r="C155" s="8"/>
      <c r="D155" s="8"/>
      <c r="E155" s="8"/>
      <c r="F155" s="8"/>
      <c r="G155" s="8"/>
      <c r="H155" s="8"/>
      <c r="I155" s="8"/>
      <c r="J155" s="8"/>
      <c r="K155" s="8"/>
      <c r="L155" s="94"/>
      <c r="M155" s="8"/>
      <c r="N155" s="8"/>
      <c r="O155" s="8"/>
      <c r="P155" s="8"/>
      <c r="Q155" s="8"/>
      <c r="R155" s="8"/>
      <c r="S155" s="8"/>
      <c r="T155" s="8"/>
      <c r="U155" s="8"/>
      <c r="V155" s="8"/>
      <c r="W155" s="8"/>
      <c r="X155" s="8"/>
      <c r="Y155" s="8"/>
      <c r="Z155" s="8"/>
    </row>
    <row r="156" spans="1:26" ht="12.75" customHeight="1" x14ac:dyDescent="0.25">
      <c r="A156" s="133"/>
      <c r="B156" s="8"/>
      <c r="C156" s="8"/>
      <c r="D156" s="8"/>
      <c r="E156" s="8"/>
      <c r="F156" s="8"/>
      <c r="G156" s="8"/>
      <c r="H156" s="8"/>
      <c r="I156" s="8"/>
      <c r="J156" s="8"/>
      <c r="K156" s="8"/>
      <c r="L156" s="94"/>
      <c r="M156" s="8"/>
      <c r="N156" s="8"/>
      <c r="O156" s="8"/>
      <c r="P156" s="8"/>
      <c r="Q156" s="8"/>
      <c r="R156" s="8"/>
      <c r="S156" s="8"/>
      <c r="T156" s="8"/>
      <c r="U156" s="8"/>
      <c r="V156" s="8"/>
      <c r="W156" s="8"/>
      <c r="X156" s="8"/>
      <c r="Y156" s="8"/>
      <c r="Z156" s="8"/>
    </row>
    <row r="157" spans="1:26" ht="12.75" customHeight="1" x14ac:dyDescent="0.25">
      <c r="A157" s="133"/>
      <c r="B157" s="8"/>
      <c r="C157" s="8"/>
      <c r="D157" s="8"/>
      <c r="E157" s="8"/>
      <c r="F157" s="8"/>
      <c r="G157" s="8"/>
      <c r="H157" s="8"/>
      <c r="I157" s="8"/>
      <c r="J157" s="8"/>
      <c r="K157" s="8"/>
      <c r="L157" s="94"/>
      <c r="M157" s="8"/>
      <c r="N157" s="8"/>
      <c r="O157" s="8"/>
      <c r="P157" s="8"/>
      <c r="Q157" s="8"/>
      <c r="R157" s="8"/>
      <c r="S157" s="8"/>
      <c r="T157" s="8"/>
      <c r="U157" s="8"/>
      <c r="V157" s="8"/>
      <c r="W157" s="8"/>
      <c r="X157" s="8"/>
      <c r="Y157" s="8"/>
      <c r="Z157" s="8"/>
    </row>
    <row r="158" spans="1:26" ht="12.75" customHeight="1" x14ac:dyDescent="0.25">
      <c r="A158" s="133"/>
      <c r="B158" s="8"/>
      <c r="C158" s="8"/>
      <c r="D158" s="8"/>
      <c r="E158" s="8"/>
      <c r="F158" s="8"/>
      <c r="G158" s="8"/>
      <c r="H158" s="8"/>
      <c r="I158" s="8"/>
      <c r="J158" s="8"/>
      <c r="K158" s="8"/>
      <c r="L158" s="94"/>
      <c r="M158" s="8"/>
      <c r="N158" s="8"/>
      <c r="O158" s="8"/>
      <c r="P158" s="8"/>
      <c r="Q158" s="8"/>
      <c r="R158" s="8"/>
      <c r="S158" s="8"/>
      <c r="T158" s="8"/>
      <c r="U158" s="8"/>
      <c r="V158" s="8"/>
      <c r="W158" s="8"/>
      <c r="X158" s="8"/>
      <c r="Y158" s="8"/>
      <c r="Z158" s="8"/>
    </row>
    <row r="159" spans="1:26" ht="12.75" customHeight="1" x14ac:dyDescent="0.25">
      <c r="A159" s="133"/>
      <c r="B159" s="8"/>
      <c r="C159" s="8"/>
      <c r="D159" s="8"/>
      <c r="E159" s="8"/>
      <c r="F159" s="8"/>
      <c r="G159" s="8"/>
      <c r="H159" s="8"/>
      <c r="I159" s="8"/>
      <c r="J159" s="8"/>
      <c r="K159" s="8"/>
      <c r="L159" s="94"/>
      <c r="M159" s="8"/>
      <c r="N159" s="8"/>
      <c r="O159" s="8"/>
      <c r="P159" s="8"/>
      <c r="Q159" s="8"/>
      <c r="R159" s="8"/>
      <c r="S159" s="8"/>
      <c r="T159" s="8"/>
      <c r="U159" s="8"/>
      <c r="V159" s="8"/>
      <c r="W159" s="8"/>
      <c r="X159" s="8"/>
      <c r="Y159" s="8"/>
      <c r="Z159" s="8"/>
    </row>
    <row r="160" spans="1:26" ht="12.75" customHeight="1" x14ac:dyDescent="0.25">
      <c r="A160" s="133"/>
      <c r="B160" s="8"/>
      <c r="C160" s="8"/>
      <c r="D160" s="8"/>
      <c r="E160" s="8"/>
      <c r="F160" s="8"/>
      <c r="G160" s="8"/>
      <c r="H160" s="8"/>
      <c r="I160" s="8"/>
      <c r="J160" s="8"/>
      <c r="K160" s="8"/>
      <c r="L160" s="94"/>
      <c r="M160" s="8"/>
      <c r="N160" s="8"/>
      <c r="O160" s="8"/>
      <c r="P160" s="8"/>
      <c r="Q160" s="8"/>
      <c r="R160" s="8"/>
      <c r="S160" s="8"/>
      <c r="T160" s="8"/>
      <c r="U160" s="8"/>
      <c r="V160" s="8"/>
      <c r="W160" s="8"/>
      <c r="X160" s="8"/>
      <c r="Y160" s="8"/>
      <c r="Z160" s="8"/>
    </row>
    <row r="161" spans="1:26" ht="12.75" customHeight="1" x14ac:dyDescent="0.25">
      <c r="A161" s="133"/>
      <c r="B161" s="8"/>
      <c r="C161" s="8"/>
      <c r="D161" s="8"/>
      <c r="E161" s="8"/>
      <c r="F161" s="8"/>
      <c r="G161" s="8"/>
      <c r="H161" s="8"/>
      <c r="I161" s="8"/>
      <c r="J161" s="8"/>
      <c r="K161" s="8"/>
      <c r="L161" s="94"/>
      <c r="M161" s="8"/>
      <c r="N161" s="8"/>
      <c r="O161" s="8"/>
      <c r="P161" s="8"/>
      <c r="Q161" s="8"/>
      <c r="R161" s="8"/>
      <c r="S161" s="8"/>
      <c r="T161" s="8"/>
      <c r="U161" s="8"/>
      <c r="V161" s="8"/>
      <c r="W161" s="8"/>
      <c r="X161" s="8"/>
      <c r="Y161" s="8"/>
      <c r="Z161" s="8"/>
    </row>
    <row r="162" spans="1:26" ht="12.75" customHeight="1" x14ac:dyDescent="0.25">
      <c r="A162" s="133"/>
      <c r="B162" s="8"/>
      <c r="C162" s="8"/>
      <c r="D162" s="8"/>
      <c r="E162" s="8"/>
      <c r="F162" s="8"/>
      <c r="G162" s="8"/>
      <c r="H162" s="8"/>
      <c r="I162" s="8"/>
      <c r="J162" s="8"/>
      <c r="K162" s="8"/>
      <c r="L162" s="94"/>
      <c r="M162" s="8"/>
      <c r="N162" s="8"/>
      <c r="O162" s="8"/>
      <c r="P162" s="8"/>
      <c r="Q162" s="8"/>
      <c r="R162" s="8"/>
      <c r="S162" s="8"/>
      <c r="T162" s="8"/>
      <c r="U162" s="8"/>
      <c r="V162" s="8"/>
      <c r="W162" s="8"/>
      <c r="X162" s="8"/>
      <c r="Y162" s="8"/>
      <c r="Z162" s="8"/>
    </row>
    <row r="163" spans="1:26" ht="12.75" customHeight="1" x14ac:dyDescent="0.25">
      <c r="A163" s="133"/>
      <c r="B163" s="8"/>
      <c r="C163" s="8"/>
      <c r="D163" s="8"/>
      <c r="E163" s="8"/>
      <c r="F163" s="8"/>
      <c r="G163" s="8"/>
      <c r="H163" s="8"/>
      <c r="I163" s="8"/>
      <c r="J163" s="8"/>
      <c r="K163" s="8"/>
      <c r="L163" s="94"/>
      <c r="M163" s="8"/>
      <c r="N163" s="8"/>
      <c r="O163" s="8"/>
      <c r="P163" s="8"/>
      <c r="Q163" s="8"/>
      <c r="R163" s="8"/>
      <c r="S163" s="8"/>
      <c r="T163" s="8"/>
      <c r="U163" s="8"/>
      <c r="V163" s="8"/>
      <c r="W163" s="8"/>
      <c r="X163" s="8"/>
      <c r="Y163" s="8"/>
      <c r="Z163" s="8"/>
    </row>
    <row r="164" spans="1:26" ht="12.75" customHeight="1" x14ac:dyDescent="0.25">
      <c r="A164" s="133"/>
      <c r="B164" s="8"/>
      <c r="C164" s="8"/>
      <c r="D164" s="8"/>
      <c r="E164" s="8"/>
      <c r="F164" s="8"/>
      <c r="G164" s="8"/>
      <c r="H164" s="8"/>
      <c r="I164" s="8"/>
      <c r="J164" s="8"/>
      <c r="K164" s="8"/>
      <c r="L164" s="94"/>
      <c r="M164" s="8"/>
      <c r="N164" s="8"/>
      <c r="O164" s="8"/>
      <c r="P164" s="8"/>
      <c r="Q164" s="8"/>
      <c r="R164" s="8"/>
      <c r="S164" s="8"/>
      <c r="T164" s="8"/>
      <c r="U164" s="8"/>
      <c r="V164" s="8"/>
      <c r="W164" s="8"/>
      <c r="X164" s="8"/>
      <c r="Y164" s="8"/>
      <c r="Z164" s="8"/>
    </row>
    <row r="165" spans="1:26" ht="12.75" customHeight="1" x14ac:dyDescent="0.25">
      <c r="A165" s="133"/>
      <c r="B165" s="8"/>
      <c r="C165" s="8"/>
      <c r="D165" s="8"/>
      <c r="E165" s="8"/>
      <c r="F165" s="8"/>
      <c r="G165" s="8"/>
      <c r="H165" s="8"/>
      <c r="I165" s="8"/>
      <c r="J165" s="8"/>
      <c r="K165" s="8"/>
      <c r="L165" s="94"/>
      <c r="M165" s="8"/>
      <c r="N165" s="8"/>
      <c r="O165" s="8"/>
      <c r="P165" s="8"/>
      <c r="Q165" s="8"/>
      <c r="R165" s="8"/>
      <c r="S165" s="8"/>
      <c r="T165" s="8"/>
      <c r="U165" s="8"/>
      <c r="V165" s="8"/>
      <c r="W165" s="8"/>
      <c r="X165" s="8"/>
      <c r="Y165" s="8"/>
      <c r="Z165" s="8"/>
    </row>
    <row r="166" spans="1:26" ht="12.75" customHeight="1" x14ac:dyDescent="0.25">
      <c r="A166" s="133"/>
      <c r="B166" s="8"/>
      <c r="C166" s="8"/>
      <c r="D166" s="8"/>
      <c r="E166" s="8"/>
      <c r="F166" s="8"/>
      <c r="G166" s="8"/>
      <c r="H166" s="8"/>
      <c r="I166" s="8"/>
      <c r="J166" s="8"/>
      <c r="K166" s="8"/>
      <c r="L166" s="94"/>
      <c r="M166" s="8"/>
      <c r="N166" s="8"/>
      <c r="O166" s="8"/>
      <c r="P166" s="8"/>
      <c r="Q166" s="8"/>
      <c r="R166" s="8"/>
      <c r="S166" s="8"/>
      <c r="T166" s="8"/>
      <c r="U166" s="8"/>
      <c r="V166" s="8"/>
      <c r="W166" s="8"/>
      <c r="X166" s="8"/>
      <c r="Y166" s="8"/>
      <c r="Z166" s="8"/>
    </row>
    <row r="167" spans="1:26" ht="12.75" customHeight="1" x14ac:dyDescent="0.25">
      <c r="A167" s="133"/>
      <c r="B167" s="8"/>
      <c r="C167" s="8"/>
      <c r="D167" s="8"/>
      <c r="E167" s="8"/>
      <c r="F167" s="8"/>
      <c r="G167" s="8"/>
      <c r="H167" s="8"/>
      <c r="I167" s="8"/>
      <c r="J167" s="8"/>
      <c r="K167" s="8"/>
      <c r="L167" s="94"/>
      <c r="M167" s="8"/>
      <c r="N167" s="8"/>
      <c r="O167" s="8"/>
      <c r="P167" s="8"/>
      <c r="Q167" s="8"/>
      <c r="R167" s="8"/>
      <c r="S167" s="8"/>
      <c r="T167" s="8"/>
      <c r="U167" s="8"/>
      <c r="V167" s="8"/>
      <c r="W167" s="8"/>
      <c r="X167" s="8"/>
      <c r="Y167" s="8"/>
      <c r="Z167" s="8"/>
    </row>
    <row r="168" spans="1:26" ht="12.75" customHeight="1" x14ac:dyDescent="0.25">
      <c r="A168" s="133"/>
      <c r="B168" s="8"/>
      <c r="C168" s="8"/>
      <c r="D168" s="8"/>
      <c r="E168" s="8"/>
      <c r="F168" s="8"/>
      <c r="G168" s="8"/>
      <c r="H168" s="8"/>
      <c r="I168" s="8"/>
      <c r="J168" s="8"/>
      <c r="K168" s="8"/>
      <c r="L168" s="94"/>
      <c r="M168" s="8"/>
      <c r="N168" s="8"/>
      <c r="O168" s="8"/>
      <c r="P168" s="8"/>
      <c r="Q168" s="8"/>
      <c r="R168" s="8"/>
      <c r="S168" s="8"/>
      <c r="T168" s="8"/>
      <c r="U168" s="8"/>
      <c r="V168" s="8"/>
      <c r="W168" s="8"/>
      <c r="X168" s="8"/>
      <c r="Y168" s="8"/>
      <c r="Z168" s="8"/>
    </row>
    <row r="169" spans="1:26" ht="12.75" customHeight="1" x14ac:dyDescent="0.25">
      <c r="A169" s="133"/>
      <c r="B169" s="8"/>
      <c r="C169" s="8"/>
      <c r="D169" s="8"/>
      <c r="E169" s="8"/>
      <c r="F169" s="8"/>
      <c r="G169" s="8"/>
      <c r="H169" s="8"/>
      <c r="I169" s="8"/>
      <c r="J169" s="8"/>
      <c r="K169" s="8"/>
      <c r="L169" s="94"/>
      <c r="M169" s="8"/>
      <c r="N169" s="8"/>
      <c r="O169" s="8"/>
      <c r="P169" s="8"/>
      <c r="Q169" s="8"/>
      <c r="R169" s="8"/>
      <c r="S169" s="8"/>
      <c r="T169" s="8"/>
      <c r="U169" s="8"/>
      <c r="V169" s="8"/>
      <c r="W169" s="8"/>
      <c r="X169" s="8"/>
      <c r="Y169" s="8"/>
      <c r="Z169" s="8"/>
    </row>
    <row r="170" spans="1:26" ht="12.75" customHeight="1" x14ac:dyDescent="0.25">
      <c r="A170" s="133"/>
      <c r="B170" s="8"/>
      <c r="C170" s="8"/>
      <c r="D170" s="8"/>
      <c r="E170" s="8"/>
      <c r="F170" s="8"/>
      <c r="G170" s="8"/>
      <c r="H170" s="8"/>
      <c r="I170" s="8"/>
      <c r="J170" s="8"/>
      <c r="K170" s="8"/>
      <c r="L170" s="94"/>
      <c r="M170" s="8"/>
      <c r="N170" s="8"/>
      <c r="O170" s="8"/>
      <c r="P170" s="8"/>
      <c r="Q170" s="8"/>
      <c r="R170" s="8"/>
      <c r="S170" s="8"/>
      <c r="T170" s="8"/>
      <c r="U170" s="8"/>
      <c r="V170" s="8"/>
      <c r="W170" s="8"/>
      <c r="X170" s="8"/>
      <c r="Y170" s="8"/>
      <c r="Z170" s="8"/>
    </row>
    <row r="171" spans="1:26" ht="12.75" customHeight="1" x14ac:dyDescent="0.25">
      <c r="A171" s="133"/>
      <c r="B171" s="8"/>
      <c r="C171" s="8"/>
      <c r="D171" s="8"/>
      <c r="E171" s="8"/>
      <c r="F171" s="8"/>
      <c r="G171" s="8"/>
      <c r="H171" s="8"/>
      <c r="I171" s="8"/>
      <c r="J171" s="8"/>
      <c r="K171" s="8"/>
      <c r="L171" s="94"/>
      <c r="M171" s="8"/>
      <c r="N171" s="8"/>
      <c r="O171" s="8"/>
      <c r="P171" s="8"/>
      <c r="Q171" s="8"/>
      <c r="R171" s="8"/>
      <c r="S171" s="8"/>
      <c r="T171" s="8"/>
      <c r="U171" s="8"/>
      <c r="V171" s="8"/>
      <c r="W171" s="8"/>
      <c r="X171" s="8"/>
      <c r="Y171" s="8"/>
      <c r="Z171" s="8"/>
    </row>
    <row r="172" spans="1:26" ht="12.75" customHeight="1" x14ac:dyDescent="0.25">
      <c r="A172" s="133"/>
      <c r="B172" s="8"/>
      <c r="C172" s="8"/>
      <c r="D172" s="8"/>
      <c r="E172" s="8"/>
      <c r="F172" s="8"/>
      <c r="G172" s="8"/>
      <c r="H172" s="8"/>
      <c r="I172" s="8"/>
      <c r="J172" s="8"/>
      <c r="K172" s="8"/>
      <c r="L172" s="94"/>
      <c r="M172" s="8"/>
      <c r="N172" s="8"/>
      <c r="O172" s="8"/>
      <c r="P172" s="8"/>
      <c r="Q172" s="8"/>
      <c r="R172" s="8"/>
      <c r="S172" s="8"/>
      <c r="T172" s="8"/>
      <c r="U172" s="8"/>
      <c r="V172" s="8"/>
      <c r="W172" s="8"/>
      <c r="X172" s="8"/>
      <c r="Y172" s="8"/>
      <c r="Z172" s="8"/>
    </row>
    <row r="173" spans="1:26" ht="12.75" customHeight="1" x14ac:dyDescent="0.25">
      <c r="A173" s="133"/>
      <c r="B173" s="8"/>
      <c r="C173" s="8"/>
      <c r="D173" s="8"/>
      <c r="E173" s="8"/>
      <c r="F173" s="8"/>
      <c r="G173" s="8"/>
      <c r="H173" s="8"/>
      <c r="I173" s="8"/>
      <c r="J173" s="8"/>
      <c r="K173" s="8"/>
      <c r="L173" s="94"/>
      <c r="M173" s="8"/>
      <c r="N173" s="8"/>
      <c r="O173" s="8"/>
      <c r="P173" s="8"/>
      <c r="Q173" s="8"/>
      <c r="R173" s="8"/>
      <c r="S173" s="8"/>
      <c r="T173" s="8"/>
      <c r="U173" s="8"/>
      <c r="V173" s="8"/>
      <c r="W173" s="8"/>
      <c r="X173" s="8"/>
      <c r="Y173" s="8"/>
      <c r="Z173" s="8"/>
    </row>
    <row r="174" spans="1:26" ht="12.75" customHeight="1" x14ac:dyDescent="0.25">
      <c r="A174" s="133"/>
      <c r="B174" s="8"/>
      <c r="C174" s="8"/>
      <c r="D174" s="8"/>
      <c r="E174" s="8"/>
      <c r="F174" s="8"/>
      <c r="G174" s="8"/>
      <c r="H174" s="8"/>
      <c r="I174" s="8"/>
      <c r="J174" s="8"/>
      <c r="K174" s="8"/>
      <c r="L174" s="94"/>
      <c r="M174" s="8"/>
      <c r="N174" s="8"/>
      <c r="O174" s="8"/>
      <c r="P174" s="8"/>
      <c r="Q174" s="8"/>
      <c r="R174" s="8"/>
      <c r="S174" s="8"/>
      <c r="T174" s="8"/>
      <c r="U174" s="8"/>
      <c r="V174" s="8"/>
      <c r="W174" s="8"/>
      <c r="X174" s="8"/>
      <c r="Y174" s="8"/>
      <c r="Z174" s="8"/>
    </row>
    <row r="175" spans="1:26" ht="12.75" customHeight="1" x14ac:dyDescent="0.25">
      <c r="A175" s="133"/>
      <c r="B175" s="8"/>
      <c r="C175" s="8"/>
      <c r="D175" s="8"/>
      <c r="E175" s="8"/>
      <c r="F175" s="8"/>
      <c r="G175" s="8"/>
      <c r="H175" s="8"/>
      <c r="I175" s="8"/>
      <c r="J175" s="8"/>
      <c r="K175" s="8"/>
      <c r="L175" s="94"/>
      <c r="M175" s="8"/>
      <c r="N175" s="8"/>
      <c r="O175" s="8"/>
      <c r="P175" s="8"/>
      <c r="Q175" s="8"/>
      <c r="R175" s="8"/>
      <c r="S175" s="8"/>
      <c r="T175" s="8"/>
      <c r="U175" s="8"/>
      <c r="V175" s="8"/>
      <c r="W175" s="8"/>
      <c r="X175" s="8"/>
      <c r="Y175" s="8"/>
      <c r="Z175" s="8"/>
    </row>
    <row r="176" spans="1:26" ht="12.75" customHeight="1" x14ac:dyDescent="0.25">
      <c r="A176" s="133"/>
      <c r="B176" s="8"/>
      <c r="C176" s="8"/>
      <c r="D176" s="8"/>
      <c r="E176" s="8"/>
      <c r="F176" s="8"/>
      <c r="G176" s="8"/>
      <c r="H176" s="8"/>
      <c r="I176" s="8"/>
      <c r="J176" s="8"/>
      <c r="K176" s="8"/>
      <c r="L176" s="94"/>
      <c r="M176" s="8"/>
      <c r="N176" s="8"/>
      <c r="O176" s="8"/>
      <c r="P176" s="8"/>
      <c r="Q176" s="8"/>
      <c r="R176" s="8"/>
      <c r="S176" s="8"/>
      <c r="T176" s="8"/>
      <c r="U176" s="8"/>
      <c r="V176" s="8"/>
      <c r="W176" s="8"/>
      <c r="X176" s="8"/>
      <c r="Y176" s="8"/>
      <c r="Z176" s="8"/>
    </row>
    <row r="177" spans="1:26" ht="12.75" customHeight="1" x14ac:dyDescent="0.25">
      <c r="A177" s="133"/>
      <c r="B177" s="8"/>
      <c r="C177" s="8"/>
      <c r="D177" s="8"/>
      <c r="E177" s="8"/>
      <c r="F177" s="8"/>
      <c r="G177" s="8"/>
      <c r="H177" s="8"/>
      <c r="I177" s="8"/>
      <c r="J177" s="8"/>
      <c r="K177" s="8"/>
      <c r="L177" s="94"/>
      <c r="M177" s="8"/>
      <c r="N177" s="8"/>
      <c r="O177" s="8"/>
      <c r="P177" s="8"/>
      <c r="Q177" s="8"/>
      <c r="R177" s="8"/>
      <c r="S177" s="8"/>
      <c r="T177" s="8"/>
      <c r="U177" s="8"/>
      <c r="V177" s="8"/>
      <c r="W177" s="8"/>
      <c r="X177" s="8"/>
      <c r="Y177" s="8"/>
      <c r="Z177" s="8"/>
    </row>
    <row r="178" spans="1:26" ht="12.75" customHeight="1" x14ac:dyDescent="0.25">
      <c r="A178" s="133"/>
      <c r="B178" s="8"/>
      <c r="C178" s="8"/>
      <c r="D178" s="8"/>
      <c r="E178" s="8"/>
      <c r="F178" s="8"/>
      <c r="G178" s="8"/>
      <c r="H178" s="8"/>
      <c r="I178" s="8"/>
      <c r="J178" s="8"/>
      <c r="K178" s="8"/>
      <c r="L178" s="94"/>
      <c r="M178" s="8"/>
      <c r="N178" s="8"/>
      <c r="O178" s="8"/>
      <c r="P178" s="8"/>
      <c r="Q178" s="8"/>
      <c r="R178" s="8"/>
      <c r="S178" s="8"/>
      <c r="T178" s="8"/>
      <c r="U178" s="8"/>
      <c r="V178" s="8"/>
      <c r="W178" s="8"/>
      <c r="X178" s="8"/>
      <c r="Y178" s="8"/>
      <c r="Z178" s="8"/>
    </row>
    <row r="179" spans="1:26" ht="12.75" customHeight="1" x14ac:dyDescent="0.25">
      <c r="A179" s="133"/>
      <c r="B179" s="8"/>
      <c r="C179" s="8"/>
      <c r="D179" s="8"/>
      <c r="E179" s="8"/>
      <c r="F179" s="8"/>
      <c r="G179" s="8"/>
      <c r="H179" s="8"/>
      <c r="I179" s="8"/>
      <c r="J179" s="8"/>
      <c r="K179" s="8"/>
      <c r="L179" s="94"/>
      <c r="M179" s="8"/>
      <c r="N179" s="8"/>
      <c r="O179" s="8"/>
      <c r="P179" s="8"/>
      <c r="Q179" s="8"/>
      <c r="R179" s="8"/>
      <c r="S179" s="8"/>
      <c r="T179" s="8"/>
      <c r="U179" s="8"/>
      <c r="V179" s="8"/>
      <c r="W179" s="8"/>
      <c r="X179" s="8"/>
      <c r="Y179" s="8"/>
      <c r="Z179" s="8"/>
    </row>
    <row r="180" spans="1:26" ht="12.75" customHeight="1" x14ac:dyDescent="0.25">
      <c r="A180" s="133"/>
      <c r="B180" s="8"/>
      <c r="C180" s="8"/>
      <c r="D180" s="8"/>
      <c r="E180" s="8"/>
      <c r="F180" s="8"/>
      <c r="G180" s="8"/>
      <c r="H180" s="8"/>
      <c r="I180" s="8"/>
      <c r="J180" s="8"/>
      <c r="K180" s="8"/>
      <c r="L180" s="94"/>
      <c r="M180" s="8"/>
      <c r="N180" s="8"/>
      <c r="O180" s="8"/>
      <c r="P180" s="8"/>
      <c r="Q180" s="8"/>
      <c r="R180" s="8"/>
      <c r="S180" s="8"/>
      <c r="T180" s="8"/>
      <c r="U180" s="8"/>
      <c r="V180" s="8"/>
      <c r="W180" s="8"/>
      <c r="X180" s="8"/>
      <c r="Y180" s="8"/>
      <c r="Z180" s="8"/>
    </row>
    <row r="181" spans="1:26" ht="12.75" customHeight="1" x14ac:dyDescent="0.25">
      <c r="A181" s="133"/>
      <c r="B181" s="8"/>
      <c r="C181" s="8"/>
      <c r="D181" s="8"/>
      <c r="E181" s="8"/>
      <c r="F181" s="8"/>
      <c r="G181" s="8"/>
      <c r="H181" s="8"/>
      <c r="I181" s="8"/>
      <c r="J181" s="8"/>
      <c r="K181" s="8"/>
      <c r="L181" s="94"/>
      <c r="M181" s="8"/>
      <c r="N181" s="8"/>
      <c r="O181" s="8"/>
      <c r="P181" s="8"/>
      <c r="Q181" s="8"/>
      <c r="R181" s="8"/>
      <c r="S181" s="8"/>
      <c r="T181" s="8"/>
      <c r="U181" s="8"/>
      <c r="V181" s="8"/>
      <c r="W181" s="8"/>
      <c r="X181" s="8"/>
      <c r="Y181" s="8"/>
      <c r="Z181" s="8"/>
    </row>
    <row r="182" spans="1:26" ht="12.75" customHeight="1" x14ac:dyDescent="0.25">
      <c r="A182" s="133"/>
      <c r="B182" s="8"/>
      <c r="C182" s="8"/>
      <c r="D182" s="8"/>
      <c r="E182" s="8"/>
      <c r="F182" s="8"/>
      <c r="G182" s="8"/>
      <c r="H182" s="8"/>
      <c r="I182" s="8"/>
      <c r="J182" s="8"/>
      <c r="K182" s="8"/>
      <c r="L182" s="94"/>
      <c r="M182" s="8"/>
      <c r="N182" s="8"/>
      <c r="O182" s="8"/>
      <c r="P182" s="8"/>
      <c r="Q182" s="8"/>
      <c r="R182" s="8"/>
      <c r="S182" s="8"/>
      <c r="T182" s="8"/>
      <c r="U182" s="8"/>
      <c r="V182" s="8"/>
      <c r="W182" s="8"/>
      <c r="X182" s="8"/>
      <c r="Y182" s="8"/>
      <c r="Z182" s="8"/>
    </row>
    <row r="183" spans="1:26" ht="12.75" customHeight="1" x14ac:dyDescent="0.25">
      <c r="A183" s="133"/>
      <c r="B183" s="8"/>
      <c r="C183" s="8"/>
      <c r="D183" s="8"/>
      <c r="E183" s="8"/>
      <c r="F183" s="8"/>
      <c r="G183" s="8"/>
      <c r="H183" s="8"/>
      <c r="I183" s="8"/>
      <c r="J183" s="8"/>
      <c r="K183" s="8"/>
      <c r="L183" s="94"/>
      <c r="M183" s="8"/>
      <c r="N183" s="8"/>
      <c r="O183" s="8"/>
      <c r="P183" s="8"/>
      <c r="Q183" s="8"/>
      <c r="R183" s="8"/>
      <c r="S183" s="8"/>
      <c r="T183" s="8"/>
      <c r="U183" s="8"/>
      <c r="V183" s="8"/>
      <c r="W183" s="8"/>
      <c r="X183" s="8"/>
      <c r="Y183" s="8"/>
      <c r="Z183" s="8"/>
    </row>
    <row r="184" spans="1:26" ht="12.75" customHeight="1" x14ac:dyDescent="0.25">
      <c r="A184" s="133"/>
      <c r="B184" s="8"/>
      <c r="C184" s="8"/>
      <c r="D184" s="8"/>
      <c r="E184" s="8"/>
      <c r="F184" s="8"/>
      <c r="G184" s="8"/>
      <c r="H184" s="8"/>
      <c r="I184" s="8"/>
      <c r="J184" s="8"/>
      <c r="K184" s="8"/>
      <c r="L184" s="94"/>
      <c r="M184" s="8"/>
      <c r="N184" s="8"/>
      <c r="O184" s="8"/>
      <c r="P184" s="8"/>
      <c r="Q184" s="8"/>
      <c r="R184" s="8"/>
      <c r="S184" s="8"/>
      <c r="T184" s="8"/>
      <c r="U184" s="8"/>
      <c r="V184" s="8"/>
      <c r="W184" s="8"/>
      <c r="X184" s="8"/>
      <c r="Y184" s="8"/>
      <c r="Z184" s="8"/>
    </row>
    <row r="185" spans="1:26" ht="12.75" customHeight="1" x14ac:dyDescent="0.25">
      <c r="A185" s="133"/>
      <c r="B185" s="8"/>
      <c r="C185" s="8"/>
      <c r="D185" s="8"/>
      <c r="E185" s="8"/>
      <c r="F185" s="8"/>
      <c r="G185" s="8"/>
      <c r="H185" s="8"/>
      <c r="I185" s="8"/>
      <c r="J185" s="8"/>
      <c r="K185" s="8"/>
      <c r="L185" s="94"/>
      <c r="M185" s="8"/>
      <c r="N185" s="8"/>
      <c r="O185" s="8"/>
      <c r="P185" s="8"/>
      <c r="Q185" s="8"/>
      <c r="R185" s="8"/>
      <c r="S185" s="8"/>
      <c r="T185" s="8"/>
      <c r="U185" s="8"/>
      <c r="V185" s="8"/>
      <c r="W185" s="8"/>
      <c r="X185" s="8"/>
      <c r="Y185" s="8"/>
      <c r="Z185" s="8"/>
    </row>
    <row r="186" spans="1:26" ht="12.75" customHeight="1" x14ac:dyDescent="0.25">
      <c r="A186" s="133"/>
      <c r="B186" s="8"/>
      <c r="C186" s="8"/>
      <c r="D186" s="8"/>
      <c r="E186" s="8"/>
      <c r="F186" s="8"/>
      <c r="G186" s="8"/>
      <c r="H186" s="8"/>
      <c r="I186" s="8"/>
      <c r="J186" s="8"/>
      <c r="K186" s="8"/>
      <c r="L186" s="94"/>
      <c r="M186" s="8"/>
      <c r="N186" s="8"/>
      <c r="O186" s="8"/>
      <c r="P186" s="8"/>
      <c r="Q186" s="8"/>
      <c r="R186" s="8"/>
      <c r="S186" s="8"/>
      <c r="T186" s="8"/>
      <c r="U186" s="8"/>
      <c r="V186" s="8"/>
      <c r="W186" s="8"/>
      <c r="X186" s="8"/>
      <c r="Y186" s="8"/>
      <c r="Z186" s="8"/>
    </row>
    <row r="187" spans="1:26" ht="12.75" customHeight="1" x14ac:dyDescent="0.25">
      <c r="A187" s="133"/>
      <c r="B187" s="8"/>
      <c r="C187" s="8"/>
      <c r="D187" s="8"/>
      <c r="E187" s="8"/>
      <c r="F187" s="8"/>
      <c r="G187" s="8"/>
      <c r="H187" s="8"/>
      <c r="I187" s="8"/>
      <c r="J187" s="8"/>
      <c r="K187" s="8"/>
      <c r="L187" s="94"/>
      <c r="M187" s="8"/>
      <c r="N187" s="8"/>
      <c r="O187" s="8"/>
      <c r="P187" s="8"/>
      <c r="Q187" s="8"/>
      <c r="R187" s="8"/>
      <c r="S187" s="8"/>
      <c r="T187" s="8"/>
      <c r="U187" s="8"/>
      <c r="V187" s="8"/>
      <c r="W187" s="8"/>
      <c r="X187" s="8"/>
      <c r="Y187" s="8"/>
      <c r="Z187" s="8"/>
    </row>
    <row r="188" spans="1:26" ht="12.75" customHeight="1" x14ac:dyDescent="0.25">
      <c r="A188" s="133"/>
      <c r="B188" s="8"/>
      <c r="C188" s="8"/>
      <c r="D188" s="8"/>
      <c r="E188" s="8"/>
      <c r="F188" s="8"/>
      <c r="G188" s="8"/>
      <c r="H188" s="8"/>
      <c r="I188" s="8"/>
      <c r="J188" s="8"/>
      <c r="K188" s="8"/>
      <c r="L188" s="94"/>
      <c r="M188" s="8"/>
      <c r="N188" s="8"/>
      <c r="O188" s="8"/>
      <c r="P188" s="8"/>
      <c r="Q188" s="8"/>
      <c r="R188" s="8"/>
      <c r="S188" s="8"/>
      <c r="T188" s="8"/>
      <c r="U188" s="8"/>
      <c r="V188" s="8"/>
      <c r="W188" s="8"/>
      <c r="X188" s="8"/>
      <c r="Y188" s="8"/>
      <c r="Z188" s="8"/>
    </row>
    <row r="189" spans="1:26" ht="12.75" customHeight="1" x14ac:dyDescent="0.25">
      <c r="A189" s="133"/>
      <c r="B189" s="8"/>
      <c r="C189" s="8"/>
      <c r="D189" s="8"/>
      <c r="E189" s="8"/>
      <c r="F189" s="8"/>
      <c r="G189" s="8"/>
      <c r="H189" s="8"/>
      <c r="I189" s="8"/>
      <c r="J189" s="8"/>
      <c r="K189" s="8"/>
      <c r="L189" s="94"/>
      <c r="M189" s="8"/>
      <c r="N189" s="8"/>
      <c r="O189" s="8"/>
      <c r="P189" s="8"/>
      <c r="Q189" s="8"/>
      <c r="R189" s="8"/>
      <c r="S189" s="8"/>
      <c r="T189" s="8"/>
      <c r="U189" s="8"/>
      <c r="V189" s="8"/>
      <c r="W189" s="8"/>
      <c r="X189" s="8"/>
      <c r="Y189" s="8"/>
      <c r="Z189" s="8"/>
    </row>
    <row r="190" spans="1:26" ht="12.75" customHeight="1" x14ac:dyDescent="0.25">
      <c r="A190" s="133"/>
      <c r="B190" s="8"/>
      <c r="C190" s="8"/>
      <c r="D190" s="8"/>
      <c r="E190" s="8"/>
      <c r="F190" s="8"/>
      <c r="G190" s="8"/>
      <c r="H190" s="8"/>
      <c r="I190" s="8"/>
      <c r="J190" s="8"/>
      <c r="K190" s="8"/>
      <c r="L190" s="94"/>
      <c r="M190" s="8"/>
      <c r="N190" s="8"/>
      <c r="O190" s="8"/>
      <c r="P190" s="8"/>
      <c r="Q190" s="8"/>
      <c r="R190" s="8"/>
      <c r="S190" s="8"/>
      <c r="T190" s="8"/>
      <c r="U190" s="8"/>
      <c r="V190" s="8"/>
      <c r="W190" s="8"/>
      <c r="X190" s="8"/>
      <c r="Y190" s="8"/>
      <c r="Z190" s="8"/>
    </row>
    <row r="191" spans="1:26" ht="12.75" customHeight="1" x14ac:dyDescent="0.25">
      <c r="A191" s="133"/>
      <c r="B191" s="8"/>
      <c r="C191" s="8"/>
      <c r="D191" s="8"/>
      <c r="E191" s="8"/>
      <c r="F191" s="8"/>
      <c r="G191" s="8"/>
      <c r="H191" s="8"/>
      <c r="I191" s="8"/>
      <c r="J191" s="8"/>
      <c r="K191" s="8"/>
      <c r="L191" s="94"/>
      <c r="M191" s="8"/>
      <c r="N191" s="8"/>
      <c r="O191" s="8"/>
      <c r="P191" s="8"/>
      <c r="Q191" s="8"/>
      <c r="R191" s="8"/>
      <c r="S191" s="8"/>
      <c r="T191" s="8"/>
      <c r="U191" s="8"/>
      <c r="V191" s="8"/>
      <c r="W191" s="8"/>
      <c r="X191" s="8"/>
      <c r="Y191" s="8"/>
      <c r="Z191" s="8"/>
    </row>
    <row r="192" spans="1:26" ht="12.75" customHeight="1" x14ac:dyDescent="0.25">
      <c r="A192" s="133"/>
      <c r="B192" s="8"/>
      <c r="C192" s="8"/>
      <c r="D192" s="8"/>
      <c r="E192" s="8"/>
      <c r="F192" s="8"/>
      <c r="G192" s="8"/>
      <c r="H192" s="8"/>
      <c r="I192" s="8"/>
      <c r="J192" s="8"/>
      <c r="K192" s="8"/>
      <c r="L192" s="94"/>
      <c r="M192" s="8"/>
      <c r="N192" s="8"/>
      <c r="O192" s="8"/>
      <c r="P192" s="8"/>
      <c r="Q192" s="8"/>
      <c r="R192" s="8"/>
      <c r="S192" s="8"/>
      <c r="T192" s="8"/>
      <c r="U192" s="8"/>
      <c r="V192" s="8"/>
      <c r="W192" s="8"/>
      <c r="X192" s="8"/>
      <c r="Y192" s="8"/>
      <c r="Z192" s="8"/>
    </row>
    <row r="193" spans="1:26" ht="12.75" customHeight="1" x14ac:dyDescent="0.25">
      <c r="A193" s="133"/>
      <c r="B193" s="8"/>
      <c r="C193" s="8"/>
      <c r="D193" s="8"/>
      <c r="E193" s="8"/>
      <c r="F193" s="8"/>
      <c r="G193" s="8"/>
      <c r="H193" s="8"/>
      <c r="I193" s="8"/>
      <c r="J193" s="8"/>
      <c r="K193" s="8"/>
      <c r="L193" s="94"/>
      <c r="M193" s="8"/>
      <c r="N193" s="8"/>
      <c r="O193" s="8"/>
      <c r="P193" s="8"/>
      <c r="Q193" s="8"/>
      <c r="R193" s="8"/>
      <c r="S193" s="8"/>
      <c r="T193" s="8"/>
      <c r="U193" s="8"/>
      <c r="V193" s="8"/>
      <c r="W193" s="8"/>
      <c r="X193" s="8"/>
      <c r="Y193" s="8"/>
      <c r="Z193" s="8"/>
    </row>
    <row r="194" spans="1:26" ht="12.75" customHeight="1" x14ac:dyDescent="0.25">
      <c r="A194" s="133"/>
      <c r="B194" s="8"/>
      <c r="C194" s="8"/>
      <c r="D194" s="8"/>
      <c r="E194" s="8"/>
      <c r="F194" s="8"/>
      <c r="G194" s="8"/>
      <c r="H194" s="8"/>
      <c r="I194" s="8"/>
      <c r="J194" s="8"/>
      <c r="K194" s="8"/>
      <c r="L194" s="94"/>
      <c r="M194" s="8"/>
      <c r="N194" s="8"/>
      <c r="O194" s="8"/>
      <c r="P194" s="8"/>
      <c r="Q194" s="8"/>
      <c r="R194" s="8"/>
      <c r="S194" s="8"/>
      <c r="T194" s="8"/>
      <c r="U194" s="8"/>
      <c r="V194" s="8"/>
      <c r="W194" s="8"/>
      <c r="X194" s="8"/>
      <c r="Y194" s="8"/>
      <c r="Z194" s="8"/>
    </row>
    <row r="195" spans="1:26" ht="12.75" customHeight="1" x14ac:dyDescent="0.25">
      <c r="A195" s="133"/>
      <c r="B195" s="8"/>
      <c r="C195" s="8"/>
      <c r="D195" s="8"/>
      <c r="E195" s="8"/>
      <c r="F195" s="8"/>
      <c r="G195" s="8"/>
      <c r="H195" s="8"/>
      <c r="I195" s="8"/>
      <c r="J195" s="8"/>
      <c r="K195" s="8"/>
      <c r="L195" s="94"/>
      <c r="M195" s="8"/>
      <c r="N195" s="8"/>
      <c r="O195" s="8"/>
      <c r="P195" s="8"/>
      <c r="Q195" s="8"/>
      <c r="R195" s="8"/>
      <c r="S195" s="8"/>
      <c r="T195" s="8"/>
      <c r="U195" s="8"/>
      <c r="V195" s="8"/>
      <c r="W195" s="8"/>
      <c r="X195" s="8"/>
      <c r="Y195" s="8"/>
      <c r="Z195" s="8"/>
    </row>
    <row r="196" spans="1:26" ht="12.75" customHeight="1" x14ac:dyDescent="0.25">
      <c r="A196" s="133"/>
      <c r="B196" s="8"/>
      <c r="C196" s="8"/>
      <c r="D196" s="8"/>
      <c r="E196" s="8"/>
      <c r="F196" s="8"/>
      <c r="G196" s="8"/>
      <c r="H196" s="8"/>
      <c r="I196" s="8"/>
      <c r="J196" s="8"/>
      <c r="K196" s="8"/>
      <c r="L196" s="94"/>
      <c r="M196" s="8"/>
      <c r="N196" s="8"/>
      <c r="O196" s="8"/>
      <c r="P196" s="8"/>
      <c r="Q196" s="8"/>
      <c r="R196" s="8"/>
      <c r="S196" s="8"/>
      <c r="T196" s="8"/>
      <c r="U196" s="8"/>
      <c r="V196" s="8"/>
      <c r="W196" s="8"/>
      <c r="X196" s="8"/>
      <c r="Y196" s="8"/>
      <c r="Z196" s="8"/>
    </row>
    <row r="197" spans="1:26" ht="12.75" customHeight="1" x14ac:dyDescent="0.25">
      <c r="A197" s="133"/>
      <c r="B197" s="8"/>
      <c r="C197" s="8"/>
      <c r="D197" s="8"/>
      <c r="E197" s="8"/>
      <c r="F197" s="8"/>
      <c r="G197" s="8"/>
      <c r="H197" s="8"/>
      <c r="I197" s="8"/>
      <c r="J197" s="8"/>
      <c r="K197" s="8"/>
      <c r="L197" s="94"/>
      <c r="M197" s="8"/>
      <c r="N197" s="8"/>
      <c r="O197" s="8"/>
      <c r="P197" s="8"/>
      <c r="Q197" s="8"/>
      <c r="R197" s="8"/>
      <c r="S197" s="8"/>
      <c r="T197" s="8"/>
      <c r="U197" s="8"/>
      <c r="V197" s="8"/>
      <c r="W197" s="8"/>
      <c r="X197" s="8"/>
      <c r="Y197" s="8"/>
      <c r="Z197" s="8"/>
    </row>
    <row r="198" spans="1:26" ht="12.75" customHeight="1" x14ac:dyDescent="0.25">
      <c r="A198" s="133"/>
      <c r="B198" s="8"/>
      <c r="C198" s="8"/>
      <c r="D198" s="8"/>
      <c r="E198" s="8"/>
      <c r="F198" s="8"/>
      <c r="G198" s="8"/>
      <c r="H198" s="8"/>
      <c r="I198" s="8"/>
      <c r="J198" s="8"/>
      <c r="K198" s="8"/>
      <c r="L198" s="94"/>
      <c r="M198" s="8"/>
      <c r="N198" s="8"/>
      <c r="O198" s="8"/>
      <c r="P198" s="8"/>
      <c r="Q198" s="8"/>
      <c r="R198" s="8"/>
      <c r="S198" s="8"/>
      <c r="T198" s="8"/>
      <c r="U198" s="8"/>
      <c r="V198" s="8"/>
      <c r="W198" s="8"/>
      <c r="X198" s="8"/>
      <c r="Y198" s="8"/>
      <c r="Z198" s="8"/>
    </row>
    <row r="199" spans="1:26" ht="12.75" customHeight="1" x14ac:dyDescent="0.25">
      <c r="A199" s="133"/>
      <c r="B199" s="8"/>
      <c r="C199" s="8"/>
      <c r="D199" s="8"/>
      <c r="E199" s="8"/>
      <c r="F199" s="8"/>
      <c r="G199" s="8"/>
      <c r="H199" s="8"/>
      <c r="I199" s="8"/>
      <c r="J199" s="8"/>
      <c r="K199" s="8"/>
      <c r="L199" s="94"/>
      <c r="M199" s="8"/>
      <c r="N199" s="8"/>
      <c r="O199" s="8"/>
      <c r="P199" s="8"/>
      <c r="Q199" s="8"/>
      <c r="R199" s="8"/>
      <c r="S199" s="8"/>
      <c r="T199" s="8"/>
      <c r="U199" s="8"/>
      <c r="V199" s="8"/>
      <c r="W199" s="8"/>
      <c r="X199" s="8"/>
      <c r="Y199" s="8"/>
      <c r="Z199" s="8"/>
    </row>
    <row r="200" spans="1:26" ht="12.75" customHeight="1" x14ac:dyDescent="0.25">
      <c r="A200" s="133"/>
      <c r="B200" s="8"/>
      <c r="C200" s="8"/>
      <c r="D200" s="8"/>
      <c r="E200" s="8"/>
      <c r="F200" s="8"/>
      <c r="G200" s="8"/>
      <c r="H200" s="8"/>
      <c r="I200" s="8"/>
      <c r="J200" s="8"/>
      <c r="K200" s="8"/>
      <c r="L200" s="94"/>
      <c r="M200" s="8"/>
      <c r="N200" s="8"/>
      <c r="O200" s="8"/>
      <c r="P200" s="8"/>
      <c r="Q200" s="8"/>
      <c r="R200" s="8"/>
      <c r="S200" s="8"/>
      <c r="T200" s="8"/>
      <c r="U200" s="8"/>
      <c r="V200" s="8"/>
      <c r="W200" s="8"/>
      <c r="X200" s="8"/>
      <c r="Y200" s="8"/>
      <c r="Z200" s="8"/>
    </row>
    <row r="201" spans="1:26" ht="12.75" customHeight="1" x14ac:dyDescent="0.25">
      <c r="A201" s="133"/>
      <c r="B201" s="8"/>
      <c r="C201" s="8"/>
      <c r="D201" s="8"/>
      <c r="E201" s="8"/>
      <c r="F201" s="8"/>
      <c r="G201" s="8"/>
      <c r="H201" s="8"/>
      <c r="I201" s="8"/>
      <c r="J201" s="8"/>
      <c r="K201" s="8"/>
      <c r="L201" s="94"/>
      <c r="M201" s="8"/>
      <c r="N201" s="8"/>
      <c r="O201" s="8"/>
      <c r="P201" s="8"/>
      <c r="Q201" s="8"/>
      <c r="R201" s="8"/>
      <c r="S201" s="8"/>
      <c r="T201" s="8"/>
      <c r="U201" s="8"/>
      <c r="V201" s="8"/>
      <c r="W201" s="8"/>
      <c r="X201" s="8"/>
      <c r="Y201" s="8"/>
      <c r="Z201" s="8"/>
    </row>
    <row r="202" spans="1:26" ht="12.75" customHeight="1" x14ac:dyDescent="0.25">
      <c r="A202" s="133"/>
      <c r="B202" s="8"/>
      <c r="C202" s="8"/>
      <c r="D202" s="8"/>
      <c r="E202" s="8"/>
      <c r="F202" s="8"/>
      <c r="G202" s="8"/>
      <c r="H202" s="8"/>
      <c r="I202" s="8"/>
      <c r="J202" s="8"/>
      <c r="K202" s="8"/>
      <c r="L202" s="94"/>
      <c r="M202" s="8"/>
      <c r="N202" s="8"/>
      <c r="O202" s="8"/>
      <c r="P202" s="8"/>
      <c r="Q202" s="8"/>
      <c r="R202" s="8"/>
      <c r="S202" s="8"/>
      <c r="T202" s="8"/>
      <c r="U202" s="8"/>
      <c r="V202" s="8"/>
      <c r="W202" s="8"/>
      <c r="X202" s="8"/>
      <c r="Y202" s="8"/>
      <c r="Z202" s="8"/>
    </row>
    <row r="203" spans="1:26" ht="12.75" customHeight="1" x14ac:dyDescent="0.25">
      <c r="A203" s="133"/>
      <c r="B203" s="8"/>
      <c r="C203" s="8"/>
      <c r="D203" s="8"/>
      <c r="E203" s="8"/>
      <c r="F203" s="8"/>
      <c r="G203" s="8"/>
      <c r="H203" s="8"/>
      <c r="I203" s="8"/>
      <c r="J203" s="8"/>
      <c r="K203" s="8"/>
      <c r="L203" s="94"/>
      <c r="M203" s="8"/>
      <c r="N203" s="8"/>
      <c r="O203" s="8"/>
      <c r="P203" s="8"/>
      <c r="Q203" s="8"/>
      <c r="R203" s="8"/>
      <c r="S203" s="8"/>
      <c r="T203" s="8"/>
      <c r="U203" s="8"/>
      <c r="V203" s="8"/>
      <c r="W203" s="8"/>
      <c r="X203" s="8"/>
      <c r="Y203" s="8"/>
      <c r="Z203" s="8"/>
    </row>
    <row r="204" spans="1:26" ht="12.75" customHeight="1" x14ac:dyDescent="0.25">
      <c r="A204" s="133"/>
      <c r="B204" s="8"/>
      <c r="C204" s="8"/>
      <c r="D204" s="8"/>
      <c r="E204" s="8"/>
      <c r="F204" s="8"/>
      <c r="G204" s="8"/>
      <c r="H204" s="8"/>
      <c r="I204" s="8"/>
      <c r="J204" s="8"/>
      <c r="K204" s="8"/>
      <c r="L204" s="94"/>
      <c r="M204" s="8"/>
      <c r="N204" s="8"/>
      <c r="O204" s="8"/>
      <c r="P204" s="8"/>
      <c r="Q204" s="8"/>
      <c r="R204" s="8"/>
      <c r="S204" s="8"/>
      <c r="T204" s="8"/>
      <c r="U204" s="8"/>
      <c r="V204" s="8"/>
      <c r="W204" s="8"/>
      <c r="X204" s="8"/>
      <c r="Y204" s="8"/>
      <c r="Z204" s="8"/>
    </row>
    <row r="205" spans="1:26" ht="12.75" customHeight="1" x14ac:dyDescent="0.25">
      <c r="A205" s="133"/>
      <c r="B205" s="8"/>
      <c r="C205" s="8"/>
      <c r="D205" s="8"/>
      <c r="E205" s="8"/>
      <c r="F205" s="8"/>
      <c r="G205" s="8"/>
      <c r="H205" s="8"/>
      <c r="I205" s="8"/>
      <c r="J205" s="8"/>
      <c r="K205" s="8"/>
      <c r="L205" s="94"/>
      <c r="M205" s="8"/>
      <c r="N205" s="8"/>
      <c r="O205" s="8"/>
      <c r="P205" s="8"/>
      <c r="Q205" s="8"/>
      <c r="R205" s="8"/>
      <c r="S205" s="8"/>
      <c r="T205" s="8"/>
      <c r="U205" s="8"/>
      <c r="V205" s="8"/>
      <c r="W205" s="8"/>
      <c r="X205" s="8"/>
      <c r="Y205" s="8"/>
      <c r="Z205" s="8"/>
    </row>
    <row r="206" spans="1:26" ht="12.75" customHeight="1" x14ac:dyDescent="0.25">
      <c r="A206" s="133"/>
      <c r="B206" s="8"/>
      <c r="C206" s="8"/>
      <c r="D206" s="8"/>
      <c r="E206" s="8"/>
      <c r="F206" s="8"/>
      <c r="G206" s="8"/>
      <c r="H206" s="8"/>
      <c r="I206" s="8"/>
      <c r="J206" s="8"/>
      <c r="K206" s="8"/>
      <c r="L206" s="94"/>
      <c r="M206" s="8"/>
      <c r="N206" s="8"/>
      <c r="O206" s="8"/>
      <c r="P206" s="8"/>
      <c r="Q206" s="8"/>
      <c r="R206" s="8"/>
      <c r="S206" s="8"/>
      <c r="T206" s="8"/>
      <c r="U206" s="8"/>
      <c r="V206" s="8"/>
      <c r="W206" s="8"/>
      <c r="X206" s="8"/>
      <c r="Y206" s="8"/>
      <c r="Z206" s="8"/>
    </row>
    <row r="207" spans="1:26" ht="12.75" customHeight="1" x14ac:dyDescent="0.25">
      <c r="A207" s="133"/>
      <c r="B207" s="8"/>
      <c r="C207" s="8"/>
      <c r="D207" s="8"/>
      <c r="E207" s="8"/>
      <c r="F207" s="8"/>
      <c r="G207" s="8"/>
      <c r="H207" s="8"/>
      <c r="I207" s="8"/>
      <c r="J207" s="8"/>
      <c r="K207" s="8"/>
      <c r="L207" s="94"/>
      <c r="M207" s="8"/>
      <c r="N207" s="8"/>
      <c r="O207" s="8"/>
      <c r="P207" s="8"/>
      <c r="Q207" s="8"/>
      <c r="R207" s="8"/>
      <c r="S207" s="8"/>
      <c r="T207" s="8"/>
      <c r="U207" s="8"/>
      <c r="V207" s="8"/>
      <c r="W207" s="8"/>
      <c r="X207" s="8"/>
      <c r="Y207" s="8"/>
      <c r="Z207" s="8"/>
    </row>
    <row r="208" spans="1:26" ht="12.75" customHeight="1" x14ac:dyDescent="0.25">
      <c r="A208" s="133"/>
      <c r="B208" s="8"/>
      <c r="C208" s="8"/>
      <c r="D208" s="8"/>
      <c r="E208" s="8"/>
      <c r="F208" s="8"/>
      <c r="G208" s="8"/>
      <c r="H208" s="8"/>
      <c r="I208" s="8"/>
      <c r="J208" s="8"/>
      <c r="K208" s="8"/>
      <c r="L208" s="94"/>
      <c r="M208" s="8"/>
      <c r="N208" s="8"/>
      <c r="O208" s="8"/>
      <c r="P208" s="8"/>
      <c r="Q208" s="8"/>
      <c r="R208" s="8"/>
      <c r="S208" s="8"/>
      <c r="T208" s="8"/>
      <c r="U208" s="8"/>
      <c r="V208" s="8"/>
      <c r="W208" s="8"/>
      <c r="X208" s="8"/>
      <c r="Y208" s="8"/>
      <c r="Z208" s="8"/>
    </row>
    <row r="209" spans="1:26" ht="12.75" customHeight="1" x14ac:dyDescent="0.25">
      <c r="A209" s="133"/>
      <c r="B209" s="8"/>
      <c r="C209" s="8"/>
      <c r="D209" s="8"/>
      <c r="E209" s="8"/>
      <c r="F209" s="8"/>
      <c r="G209" s="8"/>
      <c r="H209" s="8"/>
      <c r="I209" s="8"/>
      <c r="J209" s="8"/>
      <c r="K209" s="8"/>
      <c r="L209" s="94"/>
      <c r="M209" s="8"/>
      <c r="N209" s="8"/>
      <c r="O209" s="8"/>
      <c r="P209" s="8"/>
      <c r="Q209" s="8"/>
      <c r="R209" s="8"/>
      <c r="S209" s="8"/>
      <c r="T209" s="8"/>
      <c r="U209" s="8"/>
      <c r="V209" s="8"/>
      <c r="W209" s="8"/>
      <c r="X209" s="8"/>
      <c r="Y209" s="8"/>
      <c r="Z209" s="8"/>
    </row>
    <row r="210" spans="1:26" ht="12.75" customHeight="1" x14ac:dyDescent="0.25">
      <c r="A210" s="133"/>
      <c r="B210" s="8"/>
      <c r="C210" s="8"/>
      <c r="D210" s="8"/>
      <c r="E210" s="8"/>
      <c r="F210" s="8"/>
      <c r="G210" s="8"/>
      <c r="H210" s="8"/>
      <c r="I210" s="8"/>
      <c r="J210" s="8"/>
      <c r="K210" s="8"/>
      <c r="L210" s="94"/>
      <c r="M210" s="8"/>
      <c r="N210" s="8"/>
      <c r="O210" s="8"/>
      <c r="P210" s="8"/>
      <c r="Q210" s="8"/>
      <c r="R210" s="8"/>
      <c r="S210" s="8"/>
      <c r="T210" s="8"/>
      <c r="U210" s="8"/>
      <c r="V210" s="8"/>
      <c r="W210" s="8"/>
      <c r="X210" s="8"/>
      <c r="Y210" s="8"/>
      <c r="Z210" s="8"/>
    </row>
    <row r="211" spans="1:26" ht="12.75" customHeight="1" x14ac:dyDescent="0.25">
      <c r="A211" s="133"/>
      <c r="B211" s="8"/>
      <c r="C211" s="8"/>
      <c r="D211" s="8"/>
      <c r="E211" s="8"/>
      <c r="F211" s="8"/>
      <c r="G211" s="8"/>
      <c r="H211" s="8"/>
      <c r="I211" s="8"/>
      <c r="J211" s="8"/>
      <c r="K211" s="8"/>
      <c r="L211" s="94"/>
      <c r="M211" s="8"/>
      <c r="N211" s="8"/>
      <c r="O211" s="8"/>
      <c r="P211" s="8"/>
      <c r="Q211" s="8"/>
      <c r="R211" s="8"/>
      <c r="S211" s="8"/>
      <c r="T211" s="8"/>
      <c r="U211" s="8"/>
      <c r="V211" s="8"/>
      <c r="W211" s="8"/>
      <c r="X211" s="8"/>
      <c r="Y211" s="8"/>
      <c r="Z211" s="8"/>
    </row>
    <row r="212" spans="1:26" ht="12.75" customHeight="1" x14ac:dyDescent="0.25">
      <c r="A212" s="133"/>
      <c r="B212" s="8"/>
      <c r="C212" s="8"/>
      <c r="D212" s="8"/>
      <c r="E212" s="8"/>
      <c r="F212" s="8"/>
      <c r="G212" s="8"/>
      <c r="H212" s="8"/>
      <c r="I212" s="8"/>
      <c r="J212" s="8"/>
      <c r="K212" s="8"/>
      <c r="L212" s="94"/>
      <c r="M212" s="8"/>
      <c r="N212" s="8"/>
      <c r="O212" s="8"/>
      <c r="P212" s="8"/>
      <c r="Q212" s="8"/>
      <c r="R212" s="8"/>
      <c r="S212" s="8"/>
      <c r="T212" s="8"/>
      <c r="U212" s="8"/>
      <c r="V212" s="8"/>
      <c r="W212" s="8"/>
      <c r="X212" s="8"/>
      <c r="Y212" s="8"/>
      <c r="Z212" s="8"/>
    </row>
    <row r="213" spans="1:26" ht="12.75" customHeight="1" x14ac:dyDescent="0.25">
      <c r="A213" s="133"/>
      <c r="B213" s="8"/>
      <c r="C213" s="8"/>
      <c r="D213" s="8"/>
      <c r="E213" s="8"/>
      <c r="F213" s="8"/>
      <c r="G213" s="8"/>
      <c r="H213" s="8"/>
      <c r="I213" s="8"/>
      <c r="J213" s="8"/>
      <c r="K213" s="8"/>
      <c r="L213" s="94"/>
      <c r="M213" s="8"/>
      <c r="N213" s="8"/>
      <c r="O213" s="8"/>
      <c r="P213" s="8"/>
      <c r="Q213" s="8"/>
      <c r="R213" s="8"/>
      <c r="S213" s="8"/>
      <c r="T213" s="8"/>
      <c r="U213" s="8"/>
      <c r="V213" s="8"/>
      <c r="W213" s="8"/>
      <c r="X213" s="8"/>
      <c r="Y213" s="8"/>
      <c r="Z213" s="8"/>
    </row>
    <row r="214" spans="1:26" ht="12.75" customHeight="1" x14ac:dyDescent="0.25">
      <c r="A214" s="133"/>
      <c r="B214" s="8"/>
      <c r="C214" s="8"/>
      <c r="D214" s="8"/>
      <c r="E214" s="8"/>
      <c r="F214" s="8"/>
      <c r="G214" s="8"/>
      <c r="H214" s="8"/>
      <c r="I214" s="8"/>
      <c r="J214" s="8"/>
      <c r="K214" s="8"/>
      <c r="L214" s="94"/>
      <c r="M214" s="8"/>
      <c r="N214" s="8"/>
      <c r="O214" s="8"/>
      <c r="P214" s="8"/>
      <c r="Q214" s="8"/>
      <c r="R214" s="8"/>
      <c r="S214" s="8"/>
      <c r="T214" s="8"/>
      <c r="U214" s="8"/>
      <c r="V214" s="8"/>
      <c r="W214" s="8"/>
      <c r="X214" s="8"/>
      <c r="Y214" s="8"/>
      <c r="Z214" s="8"/>
    </row>
    <row r="215" spans="1:26" ht="12.75" customHeight="1" x14ac:dyDescent="0.25">
      <c r="A215" s="133"/>
      <c r="B215" s="8"/>
      <c r="C215" s="8"/>
      <c r="D215" s="8"/>
      <c r="E215" s="8"/>
      <c r="F215" s="8"/>
      <c r="G215" s="8"/>
      <c r="H215" s="8"/>
      <c r="I215" s="8"/>
      <c r="J215" s="8"/>
      <c r="K215" s="8"/>
      <c r="L215" s="94"/>
      <c r="M215" s="8"/>
      <c r="N215" s="8"/>
      <c r="O215" s="8"/>
      <c r="P215" s="8"/>
      <c r="Q215" s="8"/>
      <c r="R215" s="8"/>
      <c r="S215" s="8"/>
      <c r="T215" s="8"/>
      <c r="U215" s="8"/>
      <c r="V215" s="8"/>
      <c r="W215" s="8"/>
      <c r="X215" s="8"/>
      <c r="Y215" s="8"/>
      <c r="Z215" s="8"/>
    </row>
    <row r="216" spans="1:26" ht="12.75" customHeight="1" x14ac:dyDescent="0.25">
      <c r="A216" s="133"/>
      <c r="B216" s="8"/>
      <c r="C216" s="8"/>
      <c r="D216" s="8"/>
      <c r="E216" s="8"/>
      <c r="F216" s="8"/>
      <c r="G216" s="8"/>
      <c r="H216" s="8"/>
      <c r="I216" s="8"/>
      <c r="J216" s="8"/>
      <c r="K216" s="8"/>
      <c r="L216" s="94"/>
      <c r="M216" s="8"/>
      <c r="N216" s="8"/>
      <c r="O216" s="8"/>
      <c r="P216" s="8"/>
      <c r="Q216" s="8"/>
      <c r="R216" s="8"/>
      <c r="S216" s="8"/>
      <c r="T216" s="8"/>
      <c r="U216" s="8"/>
      <c r="V216" s="8"/>
      <c r="W216" s="8"/>
      <c r="X216" s="8"/>
      <c r="Y216" s="8"/>
      <c r="Z216" s="8"/>
    </row>
    <row r="217" spans="1:26" ht="12.75" customHeight="1" x14ac:dyDescent="0.25">
      <c r="A217" s="133"/>
      <c r="B217" s="8"/>
      <c r="C217" s="8"/>
      <c r="D217" s="8"/>
      <c r="E217" s="8"/>
      <c r="F217" s="8"/>
      <c r="G217" s="8"/>
      <c r="H217" s="8"/>
      <c r="I217" s="8"/>
      <c r="J217" s="8"/>
      <c r="K217" s="8"/>
      <c r="L217" s="94"/>
      <c r="M217" s="8"/>
      <c r="N217" s="8"/>
      <c r="O217" s="8"/>
      <c r="P217" s="8"/>
      <c r="Q217" s="8"/>
      <c r="R217" s="8"/>
      <c r="S217" s="8"/>
      <c r="T217" s="8"/>
      <c r="U217" s="8"/>
      <c r="V217" s="8"/>
      <c r="W217" s="8"/>
      <c r="X217" s="8"/>
      <c r="Y217" s="8"/>
      <c r="Z217" s="8"/>
    </row>
    <row r="218" spans="1:26" ht="12.75" customHeight="1" x14ac:dyDescent="0.25">
      <c r="A218" s="133"/>
      <c r="B218" s="8"/>
      <c r="C218" s="8"/>
      <c r="D218" s="8"/>
      <c r="E218" s="8"/>
      <c r="F218" s="8"/>
      <c r="G218" s="8"/>
      <c r="H218" s="8"/>
      <c r="I218" s="8"/>
      <c r="J218" s="8"/>
      <c r="K218" s="8"/>
      <c r="L218" s="94"/>
      <c r="M218" s="8"/>
      <c r="N218" s="8"/>
      <c r="O218" s="8"/>
      <c r="P218" s="8"/>
      <c r="Q218" s="8"/>
      <c r="R218" s="8"/>
      <c r="S218" s="8"/>
      <c r="T218" s="8"/>
      <c r="U218" s="8"/>
      <c r="V218" s="8"/>
      <c r="W218" s="8"/>
      <c r="X218" s="8"/>
      <c r="Y218" s="8"/>
      <c r="Z218" s="8"/>
    </row>
    <row r="219" spans="1:26" ht="12.75" customHeight="1" x14ac:dyDescent="0.25">
      <c r="A219" s="133"/>
      <c r="B219" s="8"/>
      <c r="C219" s="8"/>
      <c r="D219" s="8"/>
      <c r="E219" s="8"/>
      <c r="F219" s="8"/>
      <c r="G219" s="8"/>
      <c r="H219" s="8"/>
      <c r="I219" s="8"/>
      <c r="J219" s="8"/>
      <c r="K219" s="8"/>
      <c r="L219" s="94"/>
      <c r="M219" s="8"/>
      <c r="N219" s="8"/>
      <c r="O219" s="8"/>
      <c r="P219" s="8"/>
      <c r="Q219" s="8"/>
      <c r="R219" s="8"/>
      <c r="S219" s="8"/>
      <c r="T219" s="8"/>
      <c r="U219" s="8"/>
      <c r="V219" s="8"/>
      <c r="W219" s="8"/>
      <c r="X219" s="8"/>
      <c r="Y219" s="8"/>
      <c r="Z219" s="8"/>
    </row>
    <row r="220" spans="1:26" ht="12.75" customHeight="1" x14ac:dyDescent="0.25">
      <c r="A220" s="133"/>
      <c r="B220" s="8"/>
      <c r="C220" s="8"/>
      <c r="D220" s="8"/>
      <c r="E220" s="8"/>
      <c r="F220" s="8"/>
      <c r="G220" s="8"/>
      <c r="H220" s="8"/>
      <c r="I220" s="8"/>
      <c r="J220" s="8"/>
      <c r="K220" s="8"/>
      <c r="L220" s="94"/>
      <c r="M220" s="8"/>
      <c r="N220" s="8"/>
      <c r="O220" s="8"/>
      <c r="P220" s="8"/>
      <c r="Q220" s="8"/>
      <c r="R220" s="8"/>
      <c r="S220" s="8"/>
      <c r="T220" s="8"/>
      <c r="U220" s="8"/>
      <c r="V220" s="8"/>
      <c r="W220" s="8"/>
      <c r="X220" s="8"/>
      <c r="Y220" s="8"/>
      <c r="Z220" s="8"/>
    </row>
    <row r="221" spans="1:26" ht="12.75" customHeight="1" x14ac:dyDescent="0.25">
      <c r="A221" s="133"/>
      <c r="B221" s="8"/>
      <c r="C221" s="8"/>
      <c r="D221" s="8"/>
      <c r="E221" s="8"/>
      <c r="F221" s="8"/>
      <c r="G221" s="8"/>
      <c r="H221" s="8"/>
      <c r="I221" s="8"/>
      <c r="J221" s="8"/>
      <c r="K221" s="8"/>
      <c r="L221" s="94"/>
      <c r="M221" s="8"/>
      <c r="N221" s="8"/>
      <c r="O221" s="8"/>
      <c r="P221" s="8"/>
      <c r="Q221" s="8"/>
      <c r="R221" s="8"/>
      <c r="S221" s="8"/>
      <c r="T221" s="8"/>
      <c r="U221" s="8"/>
      <c r="V221" s="8"/>
      <c r="W221" s="8"/>
      <c r="X221" s="8"/>
      <c r="Y221" s="8"/>
      <c r="Z221" s="8"/>
    </row>
    <row r="222" spans="1:26" ht="12.75" customHeight="1" x14ac:dyDescent="0.25">
      <c r="A222" s="133"/>
      <c r="B222" s="8"/>
      <c r="C222" s="8"/>
      <c r="D222" s="8"/>
      <c r="E222" s="8"/>
      <c r="F222" s="8"/>
      <c r="G222" s="8"/>
      <c r="H222" s="8"/>
      <c r="I222" s="8"/>
      <c r="J222" s="8"/>
      <c r="K222" s="8"/>
      <c r="L222" s="94"/>
      <c r="M222" s="8"/>
      <c r="N222" s="8"/>
      <c r="O222" s="8"/>
      <c r="P222" s="8"/>
      <c r="Q222" s="8"/>
      <c r="R222" s="8"/>
      <c r="S222" s="8"/>
      <c r="T222" s="8"/>
      <c r="U222" s="8"/>
      <c r="V222" s="8"/>
      <c r="W222" s="8"/>
      <c r="X222" s="8"/>
      <c r="Y222" s="8"/>
      <c r="Z222" s="8"/>
    </row>
    <row r="223" spans="1:26" ht="12.75" customHeight="1" x14ac:dyDescent="0.25">
      <c r="A223" s="133"/>
      <c r="B223" s="8"/>
      <c r="C223" s="8"/>
      <c r="D223" s="8"/>
      <c r="E223" s="8"/>
      <c r="F223" s="8"/>
      <c r="G223" s="8"/>
      <c r="H223" s="8"/>
      <c r="I223" s="8"/>
      <c r="J223" s="8"/>
      <c r="K223" s="8"/>
      <c r="L223" s="94"/>
      <c r="M223" s="8"/>
      <c r="N223" s="8"/>
      <c r="O223" s="8"/>
      <c r="P223" s="8"/>
      <c r="Q223" s="8"/>
      <c r="R223" s="8"/>
      <c r="S223" s="8"/>
      <c r="T223" s="8"/>
      <c r="U223" s="8"/>
      <c r="V223" s="8"/>
      <c r="W223" s="8"/>
      <c r="X223" s="8"/>
      <c r="Y223" s="8"/>
      <c r="Z223" s="8"/>
    </row>
    <row r="224" spans="1:26" ht="12.75" customHeight="1" x14ac:dyDescent="0.25">
      <c r="A224" s="133"/>
      <c r="B224" s="8"/>
      <c r="C224" s="8"/>
      <c r="D224" s="8"/>
      <c r="E224" s="8"/>
      <c r="F224" s="8"/>
      <c r="G224" s="8"/>
      <c r="H224" s="8"/>
      <c r="I224" s="8"/>
      <c r="J224" s="8"/>
      <c r="K224" s="8"/>
      <c r="L224" s="94"/>
      <c r="M224" s="8"/>
      <c r="N224" s="8"/>
      <c r="O224" s="8"/>
      <c r="P224" s="8"/>
      <c r="Q224" s="8"/>
      <c r="R224" s="8"/>
      <c r="S224" s="8"/>
      <c r="T224" s="8"/>
      <c r="U224" s="8"/>
      <c r="V224" s="8"/>
      <c r="W224" s="8"/>
      <c r="X224" s="8"/>
      <c r="Y224" s="8"/>
      <c r="Z224" s="8"/>
    </row>
    <row r="225" spans="1:26" ht="12.75" customHeight="1" x14ac:dyDescent="0.25">
      <c r="A225" s="133"/>
      <c r="B225" s="8"/>
      <c r="C225" s="8"/>
      <c r="D225" s="8"/>
      <c r="E225" s="8"/>
      <c r="F225" s="8"/>
      <c r="G225" s="8"/>
      <c r="H225" s="8"/>
      <c r="I225" s="8"/>
      <c r="J225" s="8"/>
      <c r="K225" s="8"/>
      <c r="L225" s="94"/>
      <c r="M225" s="8"/>
      <c r="N225" s="8"/>
      <c r="O225" s="8"/>
      <c r="P225" s="8"/>
      <c r="Q225" s="8"/>
      <c r="R225" s="8"/>
      <c r="S225" s="8"/>
      <c r="T225" s="8"/>
      <c r="U225" s="8"/>
      <c r="V225" s="8"/>
      <c r="W225" s="8"/>
      <c r="X225" s="8"/>
      <c r="Y225" s="8"/>
      <c r="Z225" s="8"/>
    </row>
    <row r="226" spans="1:26" ht="12.75" customHeight="1" x14ac:dyDescent="0.25">
      <c r="A226" s="133"/>
      <c r="B226" s="8"/>
      <c r="C226" s="8"/>
      <c r="D226" s="8"/>
      <c r="E226" s="8"/>
      <c r="F226" s="8"/>
      <c r="G226" s="8"/>
      <c r="H226" s="8"/>
      <c r="I226" s="8"/>
      <c r="J226" s="8"/>
      <c r="K226" s="8"/>
      <c r="L226" s="94"/>
      <c r="M226" s="8"/>
      <c r="N226" s="8"/>
      <c r="O226" s="8"/>
      <c r="P226" s="8"/>
      <c r="Q226" s="8"/>
      <c r="R226" s="8"/>
      <c r="S226" s="8"/>
      <c r="T226" s="8"/>
      <c r="U226" s="8"/>
      <c r="V226" s="8"/>
      <c r="W226" s="8"/>
      <c r="X226" s="8"/>
      <c r="Y226" s="8"/>
      <c r="Z226" s="8"/>
    </row>
    <row r="227" spans="1:26" ht="12.75" customHeight="1" x14ac:dyDescent="0.25">
      <c r="A227" s="133"/>
      <c r="B227" s="8"/>
      <c r="C227" s="8"/>
      <c r="D227" s="8"/>
      <c r="E227" s="8"/>
      <c r="F227" s="8"/>
      <c r="G227" s="8"/>
      <c r="H227" s="8"/>
      <c r="I227" s="8"/>
      <c r="J227" s="8"/>
      <c r="K227" s="8"/>
      <c r="L227" s="94"/>
      <c r="M227" s="8"/>
      <c r="N227" s="8"/>
      <c r="O227" s="8"/>
      <c r="P227" s="8"/>
      <c r="Q227" s="8"/>
      <c r="R227" s="8"/>
      <c r="S227" s="8"/>
      <c r="T227" s="8"/>
      <c r="U227" s="8"/>
      <c r="V227" s="8"/>
      <c r="W227" s="8"/>
      <c r="X227" s="8"/>
      <c r="Y227" s="8"/>
      <c r="Z227" s="8"/>
    </row>
    <row r="228" spans="1:26" ht="12.75" customHeight="1" x14ac:dyDescent="0.25">
      <c r="A228" s="133"/>
      <c r="B228" s="8"/>
      <c r="C228" s="8"/>
      <c r="D228" s="8"/>
      <c r="E228" s="8"/>
      <c r="F228" s="8"/>
      <c r="G228" s="8"/>
      <c r="H228" s="8"/>
      <c r="I228" s="8"/>
      <c r="J228" s="8"/>
      <c r="K228" s="8"/>
      <c r="L228" s="94"/>
      <c r="M228" s="8"/>
      <c r="N228" s="8"/>
      <c r="O228" s="8"/>
      <c r="P228" s="8"/>
      <c r="Q228" s="8"/>
      <c r="R228" s="8"/>
      <c r="S228" s="8"/>
      <c r="T228" s="8"/>
      <c r="U228" s="8"/>
      <c r="V228" s="8"/>
      <c r="W228" s="8"/>
      <c r="X228" s="8"/>
      <c r="Y228" s="8"/>
      <c r="Z228" s="8"/>
    </row>
    <row r="229" spans="1:26" ht="12.75" customHeight="1" x14ac:dyDescent="0.25">
      <c r="A229" s="133"/>
      <c r="B229" s="8"/>
      <c r="C229" s="8"/>
      <c r="D229" s="8"/>
      <c r="E229" s="8"/>
      <c r="F229" s="8"/>
      <c r="G229" s="8"/>
      <c r="H229" s="8"/>
      <c r="I229" s="8"/>
      <c r="J229" s="8"/>
      <c r="K229" s="8"/>
      <c r="L229" s="94"/>
      <c r="M229" s="8"/>
      <c r="N229" s="8"/>
      <c r="O229" s="8"/>
      <c r="P229" s="8"/>
      <c r="Q229" s="8"/>
      <c r="R229" s="8"/>
      <c r="S229" s="8"/>
      <c r="T229" s="8"/>
      <c r="U229" s="8"/>
      <c r="V229" s="8"/>
      <c r="W229" s="8"/>
      <c r="X229" s="8"/>
      <c r="Y229" s="8"/>
      <c r="Z229" s="8"/>
    </row>
    <row r="230" spans="1:26" ht="12.75" customHeight="1" x14ac:dyDescent="0.25">
      <c r="A230" s="133"/>
      <c r="B230" s="8"/>
      <c r="C230" s="8"/>
      <c r="D230" s="8"/>
      <c r="E230" s="8"/>
      <c r="F230" s="8"/>
      <c r="G230" s="8"/>
      <c r="H230" s="8"/>
      <c r="I230" s="8"/>
      <c r="J230" s="8"/>
      <c r="K230" s="8"/>
      <c r="L230" s="94"/>
      <c r="M230" s="8"/>
      <c r="N230" s="8"/>
      <c r="O230" s="8"/>
      <c r="P230" s="8"/>
      <c r="Q230" s="8"/>
      <c r="R230" s="8"/>
      <c r="S230" s="8"/>
      <c r="T230" s="8"/>
      <c r="U230" s="8"/>
      <c r="V230" s="8"/>
      <c r="W230" s="8"/>
      <c r="X230" s="8"/>
      <c r="Y230" s="8"/>
      <c r="Z230" s="8"/>
    </row>
    <row r="231" spans="1:26" ht="12.75" customHeight="1" x14ac:dyDescent="0.25">
      <c r="A231" s="133"/>
      <c r="B231" s="8"/>
      <c r="C231" s="8"/>
      <c r="D231" s="8"/>
      <c r="E231" s="8"/>
      <c r="F231" s="8"/>
      <c r="G231" s="8"/>
      <c r="H231" s="8"/>
      <c r="I231" s="8"/>
      <c r="J231" s="8"/>
      <c r="K231" s="8"/>
      <c r="L231" s="94"/>
      <c r="M231" s="8"/>
      <c r="N231" s="8"/>
      <c r="O231" s="8"/>
      <c r="P231" s="8"/>
      <c r="Q231" s="8"/>
      <c r="R231" s="8"/>
      <c r="S231" s="8"/>
      <c r="T231" s="8"/>
      <c r="U231" s="8"/>
      <c r="V231" s="8"/>
      <c r="W231" s="8"/>
      <c r="X231" s="8"/>
      <c r="Y231" s="8"/>
      <c r="Z231" s="8"/>
    </row>
    <row r="232" spans="1:26" ht="12.75" customHeight="1" x14ac:dyDescent="0.25">
      <c r="A232" s="133"/>
      <c r="B232" s="8"/>
      <c r="C232" s="8"/>
      <c r="D232" s="8"/>
      <c r="E232" s="8"/>
      <c r="F232" s="8"/>
      <c r="G232" s="8"/>
      <c r="H232" s="8"/>
      <c r="I232" s="8"/>
      <c r="J232" s="8"/>
      <c r="K232" s="8"/>
      <c r="L232" s="94"/>
      <c r="M232" s="8"/>
      <c r="N232" s="8"/>
      <c r="O232" s="8"/>
      <c r="P232" s="8"/>
      <c r="Q232" s="8"/>
      <c r="R232" s="8"/>
      <c r="S232" s="8"/>
      <c r="T232" s="8"/>
      <c r="U232" s="8"/>
      <c r="V232" s="8"/>
      <c r="W232" s="8"/>
      <c r="X232" s="8"/>
      <c r="Y232" s="8"/>
      <c r="Z232" s="8"/>
    </row>
    <row r="233" spans="1:26" ht="12.75" customHeight="1" x14ac:dyDescent="0.25">
      <c r="A233" s="133"/>
      <c r="B233" s="8"/>
      <c r="C233" s="8"/>
      <c r="D233" s="8"/>
      <c r="E233" s="8"/>
      <c r="F233" s="8"/>
      <c r="G233" s="8"/>
      <c r="H233" s="8"/>
      <c r="I233" s="8"/>
      <c r="J233" s="8"/>
      <c r="K233" s="8"/>
      <c r="L233" s="94"/>
      <c r="M233" s="8"/>
      <c r="N233" s="8"/>
      <c r="O233" s="8"/>
      <c r="P233" s="8"/>
      <c r="Q233" s="8"/>
      <c r="R233" s="8"/>
      <c r="S233" s="8"/>
      <c r="T233" s="8"/>
      <c r="U233" s="8"/>
      <c r="V233" s="8"/>
      <c r="W233" s="8"/>
      <c r="X233" s="8"/>
      <c r="Y233" s="8"/>
      <c r="Z233" s="8"/>
    </row>
    <row r="234" spans="1:26" ht="12.75" customHeight="1" x14ac:dyDescent="0.25">
      <c r="A234" s="133"/>
      <c r="B234" s="8"/>
      <c r="C234" s="8"/>
      <c r="D234" s="8"/>
      <c r="E234" s="8"/>
      <c r="F234" s="8"/>
      <c r="G234" s="8"/>
      <c r="H234" s="8"/>
      <c r="I234" s="8"/>
      <c r="J234" s="8"/>
      <c r="K234" s="8"/>
      <c r="L234" s="94"/>
      <c r="M234" s="8"/>
      <c r="N234" s="8"/>
      <c r="O234" s="8"/>
      <c r="P234" s="8"/>
      <c r="Q234" s="8"/>
      <c r="R234" s="8"/>
      <c r="S234" s="8"/>
      <c r="T234" s="8"/>
      <c r="U234" s="8"/>
      <c r="V234" s="8"/>
      <c r="W234" s="8"/>
      <c r="X234" s="8"/>
      <c r="Y234" s="8"/>
      <c r="Z234" s="8"/>
    </row>
    <row r="235" spans="1:26" ht="12.75" customHeight="1" x14ac:dyDescent="0.25">
      <c r="A235" s="133"/>
      <c r="B235" s="8"/>
      <c r="C235" s="8"/>
      <c r="D235" s="8"/>
      <c r="E235" s="8"/>
      <c r="F235" s="8"/>
      <c r="G235" s="8"/>
      <c r="H235" s="8"/>
      <c r="I235" s="8"/>
      <c r="J235" s="8"/>
      <c r="K235" s="8"/>
      <c r="L235" s="94"/>
      <c r="M235" s="8"/>
      <c r="N235" s="8"/>
      <c r="O235" s="8"/>
      <c r="P235" s="8"/>
      <c r="Q235" s="8"/>
      <c r="R235" s="8"/>
      <c r="S235" s="8"/>
      <c r="T235" s="8"/>
      <c r="U235" s="8"/>
      <c r="V235" s="8"/>
      <c r="W235" s="8"/>
      <c r="X235" s="8"/>
      <c r="Y235" s="8"/>
      <c r="Z235" s="8"/>
    </row>
    <row r="236" spans="1:26" ht="12.75" customHeight="1" x14ac:dyDescent="0.25">
      <c r="A236" s="133"/>
      <c r="B236" s="8"/>
      <c r="C236" s="8"/>
      <c r="D236" s="8"/>
      <c r="E236" s="8"/>
      <c r="F236" s="8"/>
      <c r="G236" s="8"/>
      <c r="H236" s="8"/>
      <c r="I236" s="8"/>
      <c r="J236" s="8"/>
      <c r="K236" s="8"/>
      <c r="L236" s="94"/>
      <c r="M236" s="8"/>
      <c r="N236" s="8"/>
      <c r="O236" s="8"/>
      <c r="P236" s="8"/>
      <c r="Q236" s="8"/>
      <c r="R236" s="8"/>
      <c r="S236" s="8"/>
      <c r="T236" s="8"/>
      <c r="U236" s="8"/>
      <c r="V236" s="8"/>
      <c r="W236" s="8"/>
      <c r="X236" s="8"/>
      <c r="Y236" s="8"/>
      <c r="Z236" s="8"/>
    </row>
    <row r="237" spans="1:26" ht="12.75" customHeight="1" x14ac:dyDescent="0.25">
      <c r="A237" s="133"/>
      <c r="B237" s="8"/>
      <c r="C237" s="8"/>
      <c r="D237" s="8"/>
      <c r="E237" s="8"/>
      <c r="F237" s="8"/>
      <c r="G237" s="8"/>
      <c r="H237" s="8"/>
      <c r="I237" s="8"/>
      <c r="J237" s="8"/>
      <c r="K237" s="8"/>
      <c r="L237" s="94"/>
      <c r="M237" s="8"/>
      <c r="N237" s="8"/>
      <c r="O237" s="8"/>
      <c r="P237" s="8"/>
      <c r="Q237" s="8"/>
      <c r="R237" s="8"/>
      <c r="S237" s="8"/>
      <c r="T237" s="8"/>
      <c r="U237" s="8"/>
      <c r="V237" s="8"/>
      <c r="W237" s="8"/>
      <c r="X237" s="8"/>
      <c r="Y237" s="8"/>
      <c r="Z237" s="8"/>
    </row>
    <row r="238" spans="1:26" ht="12.75" customHeight="1" x14ac:dyDescent="0.25">
      <c r="A238" s="133"/>
      <c r="B238" s="8"/>
      <c r="C238" s="8"/>
      <c r="D238" s="8"/>
      <c r="E238" s="8"/>
      <c r="F238" s="8"/>
      <c r="G238" s="8"/>
      <c r="H238" s="8"/>
      <c r="I238" s="8"/>
      <c r="J238" s="8"/>
      <c r="K238" s="8"/>
      <c r="L238" s="94"/>
      <c r="M238" s="8"/>
      <c r="N238" s="8"/>
      <c r="O238" s="8"/>
      <c r="P238" s="8"/>
      <c r="Q238" s="8"/>
      <c r="R238" s="8"/>
      <c r="S238" s="8"/>
      <c r="T238" s="8"/>
      <c r="U238" s="8"/>
      <c r="V238" s="8"/>
      <c r="W238" s="8"/>
      <c r="X238" s="8"/>
      <c r="Y238" s="8"/>
      <c r="Z238" s="8"/>
    </row>
    <row r="239" spans="1:26" ht="12.75" customHeight="1" x14ac:dyDescent="0.25">
      <c r="A239" s="133"/>
      <c r="B239" s="8"/>
      <c r="C239" s="8"/>
      <c r="D239" s="8"/>
      <c r="E239" s="8"/>
      <c r="F239" s="8"/>
      <c r="G239" s="8"/>
      <c r="H239" s="8"/>
      <c r="I239" s="8"/>
      <c r="J239" s="8"/>
      <c r="K239" s="8"/>
      <c r="L239" s="94"/>
      <c r="M239" s="8"/>
      <c r="N239" s="8"/>
      <c r="O239" s="8"/>
      <c r="P239" s="8"/>
      <c r="Q239" s="8"/>
      <c r="R239" s="8"/>
      <c r="S239" s="8"/>
      <c r="T239" s="8"/>
      <c r="U239" s="8"/>
      <c r="V239" s="8"/>
      <c r="W239" s="8"/>
      <c r="X239" s="8"/>
      <c r="Y239" s="8"/>
      <c r="Z239" s="8"/>
    </row>
    <row r="240" spans="1:26" ht="12.75" customHeight="1" x14ac:dyDescent="0.25">
      <c r="A240" s="133"/>
      <c r="B240" s="8"/>
      <c r="C240" s="8"/>
      <c r="D240" s="8"/>
      <c r="E240" s="8"/>
      <c r="F240" s="8"/>
      <c r="G240" s="8"/>
      <c r="H240" s="8"/>
      <c r="I240" s="8"/>
      <c r="J240" s="8"/>
      <c r="K240" s="8"/>
      <c r="L240" s="94"/>
      <c r="M240" s="8"/>
      <c r="N240" s="8"/>
      <c r="O240" s="8"/>
      <c r="P240" s="8"/>
      <c r="Q240" s="8"/>
      <c r="R240" s="8"/>
      <c r="S240" s="8"/>
      <c r="T240" s="8"/>
      <c r="U240" s="8"/>
      <c r="V240" s="8"/>
      <c r="W240" s="8"/>
      <c r="X240" s="8"/>
      <c r="Y240" s="8"/>
      <c r="Z240" s="8"/>
    </row>
    <row r="241" spans="1:26" ht="12.75" customHeight="1" x14ac:dyDescent="0.25">
      <c r="A241" s="133"/>
      <c r="B241" s="8"/>
      <c r="C241" s="8"/>
      <c r="D241" s="8"/>
      <c r="E241" s="8"/>
      <c r="F241" s="8"/>
      <c r="G241" s="8"/>
      <c r="H241" s="8"/>
      <c r="I241" s="8"/>
      <c r="J241" s="8"/>
      <c r="K241" s="8"/>
      <c r="L241" s="94"/>
      <c r="M241" s="8"/>
      <c r="N241" s="8"/>
      <c r="O241" s="8"/>
      <c r="P241" s="8"/>
      <c r="Q241" s="8"/>
      <c r="R241" s="8"/>
      <c r="S241" s="8"/>
      <c r="T241" s="8"/>
      <c r="U241" s="8"/>
      <c r="V241" s="8"/>
      <c r="W241" s="8"/>
      <c r="X241" s="8"/>
      <c r="Y241" s="8"/>
      <c r="Z241" s="8"/>
    </row>
    <row r="242" spans="1:26" ht="12.75" customHeight="1" x14ac:dyDescent="0.25">
      <c r="A242" s="133"/>
      <c r="B242" s="8"/>
      <c r="C242" s="8"/>
      <c r="D242" s="8"/>
      <c r="E242" s="8"/>
      <c r="F242" s="8"/>
      <c r="G242" s="8"/>
      <c r="H242" s="8"/>
      <c r="I242" s="8"/>
      <c r="J242" s="8"/>
      <c r="K242" s="8"/>
      <c r="L242" s="94"/>
      <c r="M242" s="8"/>
      <c r="N242" s="8"/>
      <c r="O242" s="8"/>
      <c r="P242" s="8"/>
      <c r="Q242" s="8"/>
      <c r="R242" s="8"/>
      <c r="S242" s="8"/>
      <c r="T242" s="8"/>
      <c r="U242" s="8"/>
      <c r="V242" s="8"/>
      <c r="W242" s="8"/>
      <c r="X242" s="8"/>
      <c r="Y242" s="8"/>
      <c r="Z242" s="8"/>
    </row>
    <row r="243" spans="1:26" ht="12.75" customHeight="1" x14ac:dyDescent="0.25">
      <c r="A243" s="133"/>
      <c r="B243" s="8"/>
      <c r="C243" s="8"/>
      <c r="D243" s="8"/>
      <c r="E243" s="8"/>
      <c r="F243" s="8"/>
      <c r="G243" s="8"/>
      <c r="H243" s="8"/>
      <c r="I243" s="8"/>
      <c r="J243" s="8"/>
      <c r="K243" s="8"/>
      <c r="L243" s="94"/>
      <c r="M243" s="8"/>
      <c r="N243" s="8"/>
      <c r="O243" s="8"/>
      <c r="P243" s="8"/>
      <c r="Q243" s="8"/>
      <c r="R243" s="8"/>
      <c r="S243" s="8"/>
      <c r="T243" s="8"/>
      <c r="U243" s="8"/>
      <c r="V243" s="8"/>
      <c r="W243" s="8"/>
      <c r="X243" s="8"/>
      <c r="Y243" s="8"/>
      <c r="Z243" s="8"/>
    </row>
    <row r="244" spans="1:26" ht="12.75" customHeight="1" x14ac:dyDescent="0.25">
      <c r="A244" s="133"/>
      <c r="B244" s="8"/>
      <c r="C244" s="8"/>
      <c r="D244" s="8"/>
      <c r="E244" s="8"/>
      <c r="F244" s="8"/>
      <c r="G244" s="8"/>
      <c r="H244" s="8"/>
      <c r="I244" s="8"/>
      <c r="J244" s="8"/>
      <c r="K244" s="8"/>
      <c r="L244" s="94"/>
      <c r="M244" s="8"/>
      <c r="N244" s="8"/>
      <c r="O244" s="8"/>
      <c r="P244" s="8"/>
      <c r="Q244" s="8"/>
      <c r="R244" s="8"/>
      <c r="S244" s="8"/>
      <c r="T244" s="8"/>
      <c r="U244" s="8"/>
      <c r="V244" s="8"/>
      <c r="W244" s="8"/>
      <c r="X244" s="8"/>
      <c r="Y244" s="8"/>
      <c r="Z244" s="8"/>
    </row>
    <row r="245" spans="1:26" ht="12.75" customHeight="1" x14ac:dyDescent="0.25">
      <c r="A245" s="133"/>
      <c r="B245" s="8"/>
      <c r="C245" s="8"/>
      <c r="D245" s="8"/>
      <c r="E245" s="8"/>
      <c r="F245" s="8"/>
      <c r="G245" s="8"/>
      <c r="H245" s="8"/>
      <c r="I245" s="8"/>
      <c r="J245" s="8"/>
      <c r="K245" s="8"/>
      <c r="L245" s="94"/>
      <c r="M245" s="8"/>
      <c r="N245" s="8"/>
      <c r="O245" s="8"/>
      <c r="P245" s="8"/>
      <c r="Q245" s="8"/>
      <c r="R245" s="8"/>
      <c r="S245" s="8"/>
      <c r="T245" s="8"/>
      <c r="U245" s="8"/>
      <c r="V245" s="8"/>
      <c r="W245" s="8"/>
      <c r="X245" s="8"/>
      <c r="Y245" s="8"/>
      <c r="Z245" s="8"/>
    </row>
    <row r="246" spans="1:26" ht="12.75" customHeight="1" x14ac:dyDescent="0.25">
      <c r="A246" s="133"/>
      <c r="B246" s="8"/>
      <c r="C246" s="8"/>
      <c r="D246" s="8"/>
      <c r="E246" s="8"/>
      <c r="F246" s="8"/>
      <c r="G246" s="8"/>
      <c r="H246" s="8"/>
      <c r="I246" s="8"/>
      <c r="J246" s="8"/>
      <c r="K246" s="8"/>
      <c r="L246" s="94"/>
      <c r="M246" s="8"/>
      <c r="N246" s="8"/>
      <c r="O246" s="8"/>
      <c r="P246" s="8"/>
      <c r="Q246" s="8"/>
      <c r="R246" s="8"/>
      <c r="S246" s="8"/>
      <c r="T246" s="8"/>
      <c r="U246" s="8"/>
      <c r="V246" s="8"/>
      <c r="W246" s="8"/>
      <c r="X246" s="8"/>
      <c r="Y246" s="8"/>
      <c r="Z246" s="8"/>
    </row>
    <row r="247" spans="1:26" ht="12.75" customHeight="1" x14ac:dyDescent="0.25">
      <c r="A247" s="133"/>
      <c r="B247" s="8"/>
      <c r="C247" s="8"/>
      <c r="D247" s="8"/>
      <c r="E247" s="8"/>
      <c r="F247" s="8"/>
      <c r="G247" s="8"/>
      <c r="H247" s="8"/>
      <c r="I247" s="8"/>
      <c r="J247" s="8"/>
      <c r="K247" s="8"/>
      <c r="L247" s="94"/>
      <c r="M247" s="8"/>
      <c r="N247" s="8"/>
      <c r="O247" s="8"/>
      <c r="P247" s="8"/>
      <c r="Q247" s="8"/>
      <c r="R247" s="8"/>
      <c r="S247" s="8"/>
      <c r="T247" s="8"/>
      <c r="U247" s="8"/>
      <c r="V247" s="8"/>
      <c r="W247" s="8"/>
      <c r="X247" s="8"/>
      <c r="Y247" s="8"/>
      <c r="Z247" s="8"/>
    </row>
    <row r="248" spans="1:26" ht="12.75" customHeight="1" x14ac:dyDescent="0.25">
      <c r="A248" s="133"/>
      <c r="B248" s="8"/>
      <c r="C248" s="8"/>
      <c r="D248" s="8"/>
      <c r="E248" s="8"/>
      <c r="F248" s="8"/>
      <c r="G248" s="8"/>
      <c r="H248" s="8"/>
      <c r="I248" s="8"/>
      <c r="J248" s="8"/>
      <c r="K248" s="8"/>
      <c r="L248" s="94"/>
      <c r="M248" s="8"/>
      <c r="N248" s="8"/>
      <c r="O248" s="8"/>
      <c r="P248" s="8"/>
      <c r="Q248" s="8"/>
      <c r="R248" s="8"/>
      <c r="S248" s="8"/>
      <c r="T248" s="8"/>
      <c r="U248" s="8"/>
      <c r="V248" s="8"/>
      <c r="W248" s="8"/>
      <c r="X248" s="8"/>
      <c r="Y248" s="8"/>
      <c r="Z248" s="8"/>
    </row>
    <row r="249" spans="1:26" ht="12.75" customHeight="1" x14ac:dyDescent="0.25">
      <c r="A249" s="133"/>
      <c r="B249" s="8"/>
      <c r="C249" s="8"/>
      <c r="D249" s="8"/>
      <c r="E249" s="8"/>
      <c r="F249" s="8"/>
      <c r="G249" s="8"/>
      <c r="H249" s="8"/>
      <c r="I249" s="8"/>
      <c r="J249" s="8"/>
      <c r="K249" s="8"/>
      <c r="L249" s="94"/>
      <c r="M249" s="8"/>
      <c r="N249" s="8"/>
      <c r="O249" s="8"/>
      <c r="P249" s="8"/>
      <c r="Q249" s="8"/>
      <c r="R249" s="8"/>
      <c r="S249" s="8"/>
      <c r="T249" s="8"/>
      <c r="U249" s="8"/>
      <c r="V249" s="8"/>
      <c r="W249" s="8"/>
      <c r="X249" s="8"/>
      <c r="Y249" s="8"/>
      <c r="Z249" s="8"/>
    </row>
    <row r="250" spans="1:26" ht="12.75" customHeight="1" x14ac:dyDescent="0.25">
      <c r="A250" s="133"/>
      <c r="B250" s="8"/>
      <c r="C250" s="8"/>
      <c r="D250" s="8"/>
      <c r="E250" s="8"/>
      <c r="F250" s="8"/>
      <c r="G250" s="8"/>
      <c r="H250" s="8"/>
      <c r="I250" s="8"/>
      <c r="J250" s="8"/>
      <c r="K250" s="8"/>
      <c r="L250" s="94"/>
      <c r="M250" s="8"/>
      <c r="N250" s="8"/>
      <c r="O250" s="8"/>
      <c r="P250" s="8"/>
      <c r="Q250" s="8"/>
      <c r="R250" s="8"/>
      <c r="S250" s="8"/>
      <c r="T250" s="8"/>
      <c r="U250" s="8"/>
      <c r="V250" s="8"/>
      <c r="W250" s="8"/>
      <c r="X250" s="8"/>
      <c r="Y250" s="8"/>
      <c r="Z250" s="8"/>
    </row>
    <row r="251" spans="1:26" ht="12.75" customHeight="1" x14ac:dyDescent="0.25">
      <c r="A251" s="133"/>
      <c r="B251" s="8"/>
      <c r="C251" s="8"/>
      <c r="D251" s="8"/>
      <c r="E251" s="8"/>
      <c r="F251" s="8"/>
      <c r="G251" s="8"/>
      <c r="H251" s="8"/>
      <c r="I251" s="8"/>
      <c r="J251" s="8"/>
      <c r="K251" s="8"/>
      <c r="L251" s="94"/>
      <c r="M251" s="8"/>
      <c r="N251" s="8"/>
      <c r="O251" s="8"/>
      <c r="P251" s="8"/>
      <c r="Q251" s="8"/>
      <c r="R251" s="8"/>
      <c r="S251" s="8"/>
      <c r="T251" s="8"/>
      <c r="U251" s="8"/>
      <c r="V251" s="8"/>
      <c r="W251" s="8"/>
      <c r="X251" s="8"/>
      <c r="Y251" s="8"/>
      <c r="Z251" s="8"/>
    </row>
    <row r="252" spans="1:26" ht="12.75" customHeight="1" x14ac:dyDescent="0.25">
      <c r="A252" s="133"/>
      <c r="B252" s="8"/>
      <c r="C252" s="8"/>
      <c r="D252" s="8"/>
      <c r="E252" s="8"/>
      <c r="F252" s="8"/>
      <c r="G252" s="8"/>
      <c r="H252" s="8"/>
      <c r="I252" s="8"/>
      <c r="J252" s="8"/>
      <c r="K252" s="8"/>
      <c r="L252" s="94"/>
      <c r="M252" s="8"/>
      <c r="N252" s="8"/>
      <c r="O252" s="8"/>
      <c r="P252" s="8"/>
      <c r="Q252" s="8"/>
      <c r="R252" s="8"/>
      <c r="S252" s="8"/>
      <c r="T252" s="8"/>
      <c r="U252" s="8"/>
      <c r="V252" s="8"/>
      <c r="W252" s="8"/>
      <c r="X252" s="8"/>
      <c r="Y252" s="8"/>
      <c r="Z252" s="8"/>
    </row>
    <row r="253" spans="1:26" ht="12.75" customHeight="1" x14ac:dyDescent="0.25">
      <c r="A253" s="133"/>
      <c r="B253" s="8"/>
      <c r="C253" s="8"/>
      <c r="D253" s="8"/>
      <c r="E253" s="8"/>
      <c r="F253" s="8"/>
      <c r="G253" s="8"/>
      <c r="H253" s="8"/>
      <c r="I253" s="8"/>
      <c r="J253" s="8"/>
      <c r="K253" s="8"/>
      <c r="L253" s="94"/>
      <c r="M253" s="8"/>
      <c r="N253" s="8"/>
      <c r="O253" s="8"/>
      <c r="P253" s="8"/>
      <c r="Q253" s="8"/>
      <c r="R253" s="8"/>
      <c r="S253" s="8"/>
      <c r="T253" s="8"/>
      <c r="U253" s="8"/>
      <c r="V253" s="8"/>
      <c r="W253" s="8"/>
      <c r="X253" s="8"/>
      <c r="Y253" s="8"/>
      <c r="Z253" s="8"/>
    </row>
    <row r="254" spans="1:26" ht="12.75" customHeight="1" x14ac:dyDescent="0.25">
      <c r="A254" s="133"/>
      <c r="B254" s="8"/>
      <c r="C254" s="8"/>
      <c r="D254" s="8"/>
      <c r="E254" s="8"/>
      <c r="F254" s="8"/>
      <c r="G254" s="8"/>
      <c r="H254" s="8"/>
      <c r="I254" s="8"/>
      <c r="J254" s="8"/>
      <c r="K254" s="8"/>
      <c r="L254" s="94"/>
      <c r="M254" s="8"/>
      <c r="N254" s="8"/>
      <c r="O254" s="8"/>
      <c r="P254" s="8"/>
      <c r="Q254" s="8"/>
      <c r="R254" s="8"/>
      <c r="S254" s="8"/>
      <c r="T254" s="8"/>
      <c r="U254" s="8"/>
      <c r="V254" s="8"/>
      <c r="W254" s="8"/>
      <c r="X254" s="8"/>
      <c r="Y254" s="8"/>
      <c r="Z254" s="8"/>
    </row>
    <row r="255" spans="1:26" ht="12.75" customHeight="1" x14ac:dyDescent="0.25">
      <c r="A255" s="133"/>
      <c r="B255" s="8"/>
      <c r="C255" s="8"/>
      <c r="D255" s="8"/>
      <c r="E255" s="8"/>
      <c r="F255" s="8"/>
      <c r="G255" s="8"/>
      <c r="H255" s="8"/>
      <c r="I255" s="8"/>
      <c r="J255" s="8"/>
      <c r="K255" s="8"/>
      <c r="L255" s="94"/>
      <c r="M255" s="8"/>
      <c r="N255" s="8"/>
      <c r="O255" s="8"/>
      <c r="P255" s="8"/>
      <c r="Q255" s="8"/>
      <c r="R255" s="8"/>
      <c r="S255" s="8"/>
      <c r="T255" s="8"/>
      <c r="U255" s="8"/>
      <c r="V255" s="8"/>
      <c r="W255" s="8"/>
      <c r="X255" s="8"/>
      <c r="Y255" s="8"/>
      <c r="Z255" s="8"/>
    </row>
    <row r="256" spans="1:26" ht="12.75" customHeight="1" x14ac:dyDescent="0.25">
      <c r="A256" s="133"/>
      <c r="B256" s="8"/>
      <c r="C256" s="8"/>
      <c r="D256" s="8"/>
      <c r="E256" s="8"/>
      <c r="F256" s="8"/>
      <c r="G256" s="8"/>
      <c r="H256" s="8"/>
      <c r="I256" s="8"/>
      <c r="J256" s="8"/>
      <c r="K256" s="8"/>
      <c r="L256" s="94"/>
      <c r="M256" s="8"/>
      <c r="N256" s="8"/>
      <c r="O256" s="8"/>
      <c r="P256" s="8"/>
      <c r="Q256" s="8"/>
      <c r="R256" s="8"/>
      <c r="S256" s="8"/>
      <c r="T256" s="8"/>
      <c r="U256" s="8"/>
      <c r="V256" s="8"/>
      <c r="W256" s="8"/>
      <c r="X256" s="8"/>
      <c r="Y256" s="8"/>
      <c r="Z256" s="8"/>
    </row>
    <row r="257" spans="1:26" ht="12.75" customHeight="1" x14ac:dyDescent="0.25">
      <c r="A257" s="133"/>
      <c r="B257" s="8"/>
      <c r="C257" s="8"/>
      <c r="D257" s="8"/>
      <c r="E257" s="8"/>
      <c r="F257" s="8"/>
      <c r="G257" s="8"/>
      <c r="H257" s="8"/>
      <c r="I257" s="8"/>
      <c r="J257" s="8"/>
      <c r="K257" s="8"/>
      <c r="L257" s="94"/>
      <c r="M257" s="8"/>
      <c r="N257" s="8"/>
      <c r="O257" s="8"/>
      <c r="P257" s="8"/>
      <c r="Q257" s="8"/>
      <c r="R257" s="8"/>
      <c r="S257" s="8"/>
      <c r="T257" s="8"/>
      <c r="U257" s="8"/>
      <c r="V257" s="8"/>
      <c r="W257" s="8"/>
      <c r="X257" s="8"/>
      <c r="Y257" s="8"/>
      <c r="Z257" s="8"/>
    </row>
    <row r="258" spans="1:26" ht="12.75" customHeight="1" x14ac:dyDescent="0.25">
      <c r="A258" s="133"/>
      <c r="B258" s="8"/>
      <c r="C258" s="8"/>
      <c r="D258" s="8"/>
      <c r="E258" s="8"/>
      <c r="F258" s="8"/>
      <c r="G258" s="8"/>
      <c r="H258" s="8"/>
      <c r="I258" s="8"/>
      <c r="J258" s="8"/>
      <c r="K258" s="8"/>
      <c r="L258" s="94"/>
      <c r="M258" s="8"/>
      <c r="N258" s="8"/>
      <c r="O258" s="8"/>
      <c r="P258" s="8"/>
      <c r="Q258" s="8"/>
      <c r="R258" s="8"/>
      <c r="S258" s="8"/>
      <c r="T258" s="8"/>
      <c r="U258" s="8"/>
      <c r="V258" s="8"/>
      <c r="W258" s="8"/>
      <c r="X258" s="8"/>
      <c r="Y258" s="8"/>
      <c r="Z258" s="8"/>
    </row>
    <row r="259" spans="1:26" ht="12.75" customHeight="1" x14ac:dyDescent="0.25">
      <c r="A259" s="133"/>
      <c r="B259" s="8"/>
      <c r="C259" s="8"/>
      <c r="D259" s="8"/>
      <c r="E259" s="8"/>
      <c r="F259" s="8"/>
      <c r="G259" s="8"/>
      <c r="H259" s="8"/>
      <c r="I259" s="8"/>
      <c r="J259" s="8"/>
      <c r="K259" s="8"/>
      <c r="L259" s="94"/>
      <c r="M259" s="8"/>
      <c r="N259" s="8"/>
      <c r="O259" s="8"/>
      <c r="P259" s="8"/>
      <c r="Q259" s="8"/>
      <c r="R259" s="8"/>
      <c r="S259" s="8"/>
      <c r="T259" s="8"/>
      <c r="U259" s="8"/>
      <c r="V259" s="8"/>
      <c r="W259" s="8"/>
      <c r="X259" s="8"/>
      <c r="Y259" s="8"/>
      <c r="Z259" s="8"/>
    </row>
    <row r="260" spans="1:26" ht="12.75" customHeight="1" x14ac:dyDescent="0.25">
      <c r="A260" s="133"/>
      <c r="B260" s="8"/>
      <c r="C260" s="8"/>
      <c r="D260" s="8"/>
      <c r="E260" s="8"/>
      <c r="F260" s="8"/>
      <c r="G260" s="8"/>
      <c r="H260" s="8"/>
      <c r="I260" s="8"/>
      <c r="J260" s="8"/>
      <c r="K260" s="8"/>
      <c r="L260" s="94"/>
      <c r="M260" s="8"/>
      <c r="N260" s="8"/>
      <c r="O260" s="8"/>
      <c r="P260" s="8"/>
      <c r="Q260" s="8"/>
      <c r="R260" s="8"/>
      <c r="S260" s="8"/>
      <c r="T260" s="8"/>
      <c r="U260" s="8"/>
      <c r="V260" s="8"/>
      <c r="W260" s="8"/>
      <c r="X260" s="8"/>
      <c r="Y260" s="8"/>
      <c r="Z260" s="8"/>
    </row>
    <row r="261" spans="1:26" ht="12.75" customHeight="1" x14ac:dyDescent="0.25">
      <c r="A261" s="133"/>
      <c r="B261" s="8"/>
      <c r="C261" s="8"/>
      <c r="D261" s="8"/>
      <c r="E261" s="8"/>
      <c r="F261" s="8"/>
      <c r="G261" s="8"/>
      <c r="H261" s="8"/>
      <c r="I261" s="8"/>
      <c r="J261" s="8"/>
      <c r="K261" s="8"/>
      <c r="L261" s="94"/>
      <c r="M261" s="8"/>
      <c r="N261" s="8"/>
      <c r="O261" s="8"/>
      <c r="P261" s="8"/>
      <c r="Q261" s="8"/>
      <c r="R261" s="8"/>
      <c r="S261" s="8"/>
      <c r="T261" s="8"/>
      <c r="U261" s="8"/>
      <c r="V261" s="8"/>
      <c r="W261" s="8"/>
      <c r="X261" s="8"/>
      <c r="Y261" s="8"/>
      <c r="Z261" s="8"/>
    </row>
    <row r="262" spans="1:26" ht="12.75" customHeight="1" x14ac:dyDescent="0.25">
      <c r="A262" s="133"/>
      <c r="B262" s="8"/>
      <c r="C262" s="8"/>
      <c r="D262" s="8"/>
      <c r="E262" s="8"/>
      <c r="F262" s="8"/>
      <c r="G262" s="8"/>
      <c r="H262" s="8"/>
      <c r="I262" s="8"/>
      <c r="J262" s="8"/>
      <c r="K262" s="8"/>
      <c r="L262" s="94"/>
      <c r="M262" s="8"/>
      <c r="N262" s="8"/>
      <c r="O262" s="8"/>
      <c r="P262" s="8"/>
      <c r="Q262" s="8"/>
      <c r="R262" s="8"/>
      <c r="S262" s="8"/>
      <c r="T262" s="8"/>
      <c r="U262" s="8"/>
      <c r="V262" s="8"/>
      <c r="W262" s="8"/>
      <c r="X262" s="8"/>
      <c r="Y262" s="8"/>
      <c r="Z262" s="8"/>
    </row>
    <row r="263" spans="1:26" ht="12.75" customHeight="1" x14ac:dyDescent="0.25">
      <c r="A263" s="133"/>
      <c r="B263" s="8"/>
      <c r="C263" s="8"/>
      <c r="D263" s="8"/>
      <c r="E263" s="8"/>
      <c r="F263" s="8"/>
      <c r="G263" s="8"/>
      <c r="H263" s="8"/>
      <c r="I263" s="8"/>
      <c r="J263" s="8"/>
      <c r="K263" s="8"/>
      <c r="L263" s="94"/>
      <c r="M263" s="8"/>
      <c r="N263" s="8"/>
      <c r="O263" s="8"/>
      <c r="P263" s="8"/>
      <c r="Q263" s="8"/>
      <c r="R263" s="8"/>
      <c r="S263" s="8"/>
      <c r="T263" s="8"/>
      <c r="U263" s="8"/>
      <c r="V263" s="8"/>
      <c r="W263" s="8"/>
      <c r="X263" s="8"/>
      <c r="Y263" s="8"/>
      <c r="Z263" s="8"/>
    </row>
    <row r="264" spans="1:26" ht="12.75" customHeight="1" x14ac:dyDescent="0.25">
      <c r="A264" s="133"/>
      <c r="B264" s="8"/>
      <c r="C264" s="8"/>
      <c r="D264" s="8"/>
      <c r="E264" s="8"/>
      <c r="F264" s="8"/>
      <c r="G264" s="8"/>
      <c r="H264" s="8"/>
      <c r="I264" s="8"/>
      <c r="J264" s="8"/>
      <c r="K264" s="8"/>
      <c r="L264" s="94"/>
      <c r="M264" s="8"/>
      <c r="N264" s="8"/>
      <c r="O264" s="8"/>
      <c r="P264" s="8"/>
      <c r="Q264" s="8"/>
      <c r="R264" s="8"/>
      <c r="S264" s="8"/>
      <c r="T264" s="8"/>
      <c r="U264" s="8"/>
      <c r="V264" s="8"/>
      <c r="W264" s="8"/>
      <c r="X264" s="8"/>
      <c r="Y264" s="8"/>
      <c r="Z264" s="8"/>
    </row>
    <row r="265" spans="1:26" ht="12.75" customHeight="1" x14ac:dyDescent="0.25">
      <c r="A265" s="133"/>
      <c r="B265" s="8"/>
      <c r="C265" s="8"/>
      <c r="D265" s="8"/>
      <c r="E265" s="8"/>
      <c r="F265" s="8"/>
      <c r="G265" s="8"/>
      <c r="H265" s="8"/>
      <c r="I265" s="8"/>
      <c r="J265" s="8"/>
      <c r="K265" s="8"/>
      <c r="L265" s="94"/>
      <c r="M265" s="8"/>
      <c r="N265" s="8"/>
      <c r="O265" s="8"/>
      <c r="P265" s="8"/>
      <c r="Q265" s="8"/>
      <c r="R265" s="8"/>
      <c r="S265" s="8"/>
      <c r="T265" s="8"/>
      <c r="U265" s="8"/>
      <c r="V265" s="8"/>
      <c r="W265" s="8"/>
      <c r="X265" s="8"/>
      <c r="Y265" s="8"/>
      <c r="Z265" s="8"/>
    </row>
    <row r="266" spans="1:26" ht="12.75" customHeight="1" x14ac:dyDescent="0.25">
      <c r="A266" s="133"/>
      <c r="B266" s="8"/>
      <c r="C266" s="8"/>
      <c r="D266" s="8"/>
      <c r="E266" s="8"/>
      <c r="F266" s="8"/>
      <c r="G266" s="8"/>
      <c r="H266" s="8"/>
      <c r="I266" s="8"/>
      <c r="J266" s="8"/>
      <c r="K266" s="8"/>
      <c r="L266" s="94"/>
      <c r="M266" s="8"/>
      <c r="N266" s="8"/>
      <c r="O266" s="8"/>
      <c r="P266" s="8"/>
      <c r="Q266" s="8"/>
      <c r="R266" s="8"/>
      <c r="S266" s="8"/>
      <c r="T266" s="8"/>
      <c r="U266" s="8"/>
      <c r="V266" s="8"/>
      <c r="W266" s="8"/>
      <c r="X266" s="8"/>
      <c r="Y266" s="8"/>
      <c r="Z266" s="8"/>
    </row>
    <row r="267" spans="1:26" ht="15.75" customHeight="1" x14ac:dyDescent="0.2"/>
    <row r="268" spans="1:26" ht="15.75" customHeight="1" x14ac:dyDescent="0.2"/>
    <row r="269" spans="1:26" ht="15.75" customHeight="1" x14ac:dyDescent="0.2"/>
    <row r="270" spans="1:26" ht="15.75" customHeight="1" x14ac:dyDescent="0.2"/>
    <row r="271" spans="1:26" ht="15.75" customHeight="1" x14ac:dyDescent="0.2"/>
    <row r="272" spans="1:26"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row r="1020" ht="15.75" customHeight="1" x14ac:dyDescent="0.2"/>
    <row r="1021" ht="15.75" customHeight="1" x14ac:dyDescent="0.2"/>
    <row r="1022" ht="15.75" customHeight="1" x14ac:dyDescent="0.2"/>
    <row r="1023" ht="15.75" customHeight="1" x14ac:dyDescent="0.2"/>
    <row r="1024" ht="15.75" customHeight="1" x14ac:dyDescent="0.2"/>
    <row r="1025" ht="15.75" customHeight="1" x14ac:dyDescent="0.2"/>
    <row r="1026" ht="15.75" customHeight="1" x14ac:dyDescent="0.2"/>
    <row r="1027" ht="15.75" customHeight="1" x14ac:dyDescent="0.2"/>
    <row r="1028" ht="15.75" customHeight="1" x14ac:dyDescent="0.2"/>
    <row r="1029" ht="15.75" customHeight="1" x14ac:dyDescent="0.2"/>
    <row r="1030" ht="15.75" customHeight="1" x14ac:dyDescent="0.2"/>
    <row r="1031" ht="15.75" customHeight="1" x14ac:dyDescent="0.2"/>
    <row r="1032" ht="15.75" customHeight="1" x14ac:dyDescent="0.2"/>
    <row r="1033" ht="15.75" customHeight="1" x14ac:dyDescent="0.2"/>
    <row r="1034" ht="15.75" customHeight="1" x14ac:dyDescent="0.2"/>
    <row r="1035" ht="15.75" customHeight="1" x14ac:dyDescent="0.2"/>
    <row r="1036" ht="15.75" customHeight="1" x14ac:dyDescent="0.2"/>
    <row r="1037" ht="15.75" customHeight="1" x14ac:dyDescent="0.2"/>
    <row r="1038" ht="15.75" customHeight="1" x14ac:dyDescent="0.2"/>
    <row r="1039" ht="15.75" customHeight="1" x14ac:dyDescent="0.2"/>
    <row r="1040" ht="15.75" customHeight="1" x14ac:dyDescent="0.2"/>
    <row r="1041" ht="15.75" customHeight="1" x14ac:dyDescent="0.2"/>
    <row r="1042" ht="15.75" customHeight="1" x14ac:dyDescent="0.2"/>
    <row r="1043" ht="15.75" customHeight="1" x14ac:dyDescent="0.2"/>
    <row r="1044" ht="15.75" customHeight="1" x14ac:dyDescent="0.2"/>
    <row r="1045" ht="15.75" customHeight="1" x14ac:dyDescent="0.2"/>
    <row r="1046" ht="15.75" customHeight="1" x14ac:dyDescent="0.2"/>
  </sheetData>
  <mergeCells count="1">
    <mergeCell ref="B3:E3"/>
  </mergeCells>
  <conditionalFormatting sqref="I9:I64">
    <cfRule type="containsText" dxfId="72" priority="1" operator="containsText" text="&quot;Pass&quot;">
      <formula>NOT(ISERROR(SEARCH(("""Pass"""),(I9))))</formula>
    </cfRule>
    <cfRule type="containsText" dxfId="71" priority="2" operator="containsText" text="&quot;N/A&quot;">
      <formula>NOT(ISERROR(SEARCH(("""N/A"""),(I9))))</formula>
    </cfRule>
    <cfRule type="containsText" dxfId="70" priority="3" operator="containsText" text="&quot;Fail&quot;">
      <formula>NOT(ISERROR(SEARCH(("""Fail"""),(I9))))</formula>
    </cfRule>
    <cfRule type="containsText" dxfId="69" priority="4" operator="containsText" text="&quot;Pass&quot;">
      <formula>NOT(ISERROR(SEARCH(("""Pass"""),(I9))))</formula>
    </cfRule>
    <cfRule type="containsText" dxfId="68" priority="5" operator="containsText" text="&quot;Pass&quot;">
      <formula>NOT(ISERROR(SEARCH(("""Pass"""),(I9))))</formula>
    </cfRule>
    <cfRule type="containsText" dxfId="67" priority="6" operator="containsText" text="&quot;N/A&quot;">
      <formula>NOT(ISERROR(SEARCH(("""N/A"""),(I9))))</formula>
    </cfRule>
    <cfRule type="containsText" dxfId="66" priority="7" operator="containsText" text="&quot;Fail&quot;">
      <formula>NOT(ISERROR(SEARCH(("""Fail"""),(I9))))</formula>
    </cfRule>
    <cfRule type="containsText" dxfId="65" priority="8" operator="containsText" text="&quot;Pass&quot;">
      <formula>NOT(ISERROR(SEARCH(("""Pass"""),(I9))))</formula>
    </cfRule>
    <cfRule type="containsText" dxfId="64" priority="9" operator="containsText" text="Pass">
      <formula>NOT(ISERROR(SEARCH(("Pass"),(I9))))</formula>
    </cfRule>
    <cfRule type="containsText" dxfId="63" priority="10" operator="containsText" text="Fail">
      <formula>NOT(ISERROR(SEARCH(("Fail"),(I9))))</formula>
    </cfRule>
    <cfRule type="containsText" dxfId="62" priority="11" operator="containsText" text="Untested">
      <formula>NOT(ISERROR(SEARCH(("Untested"),(I9))))</formula>
    </cfRule>
  </conditionalFormatting>
  <dataValidations count="4">
    <dataValidation type="list" allowBlank="1" showInputMessage="1" showErrorMessage="1" prompt=" - " sqref="I1:I3 I7:I8 I16:I188" xr:uid="{621610F6-68B3-4CCF-AD37-FA0C5D78EFD5}">
      <formula1>$M$2:$M$6</formula1>
    </dataValidation>
    <dataValidation type="list" allowBlank="1" showInputMessage="1" showErrorMessage="1" prompt=" - " sqref="I9:I15" xr:uid="{60FF3053-32D5-4128-A920-8DAED82C4B48}">
      <formula1>"Pass,Fail,Untested,N/A"</formula1>
    </dataValidation>
    <dataValidation type="list" allowBlank="1" showInputMessage="1" showErrorMessage="1" sqref="N2" xr:uid="{5F599A56-EDC2-45A8-AA80-6630ED509D48}">
      <formula1>$M$6</formula1>
    </dataValidation>
    <dataValidation type="list" allowBlank="1" showInputMessage="1" showErrorMessage="1" sqref="M1:M1048576" xr:uid="{5C3F91C8-9A4E-4A97-9158-73797F4EF211}">
      <formula1>$M$2:$M$6</formula1>
    </dataValidation>
  </dataValidations>
  <pageMargins left="0.7" right="0.7" top="0.75" bottom="0.75" header="0" footer="0"/>
  <pageSetup orientation="landscape" r:id="rId1"/>
  <headerFooter>
    <oddHeader>&amp;LFacilitate_Test Case\Company&amp;Rv1.0</oddHeader>
    <oddFooter>&amp;L 02ae-BM/PM/HDCV/FSOFT v2/0&amp;CInternal use&amp;R&amp;P/</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FBD32-980D-4383-A803-277278D131EB}">
  <dimension ref="A1:Z999"/>
  <sheetViews>
    <sheetView zoomScale="86" workbookViewId="0">
      <pane ySplit="8" topLeftCell="A18" activePane="bottomLeft" state="frozen"/>
      <selection pane="bottomLeft" activeCell="I18" sqref="I18"/>
    </sheetView>
  </sheetViews>
  <sheetFormatPr defaultColWidth="12.6640625" defaultRowHeight="15" customHeight="1" x14ac:dyDescent="0.2"/>
  <cols>
    <col min="1" max="1" width="14.33203125" style="134" customWidth="1"/>
    <col min="2" max="5" width="20.33203125" customWidth="1"/>
    <col min="6" max="7" width="25" customWidth="1"/>
    <col min="8" max="8" width="30.109375" customWidth="1"/>
    <col min="9" max="9" width="15.109375" customWidth="1"/>
    <col min="10" max="10" width="16.33203125" customWidth="1"/>
    <col min="11" max="11" width="15.88671875" customWidth="1"/>
    <col min="12" max="12" width="8.109375" customWidth="1"/>
    <col min="13" max="13" width="6.6640625" hidden="1" customWidth="1"/>
    <col min="14" max="26" width="10" customWidth="1"/>
  </cols>
  <sheetData>
    <row r="1" spans="1:26" ht="13.5" customHeight="1" thickBot="1" x14ac:dyDescent="0.3">
      <c r="A1" s="124"/>
      <c r="B1" s="55"/>
      <c r="C1" s="55"/>
      <c r="D1" s="56"/>
      <c r="E1" s="56"/>
      <c r="F1" s="56"/>
      <c r="G1" s="56"/>
      <c r="H1" s="56"/>
      <c r="I1" s="36"/>
      <c r="J1" s="57"/>
      <c r="K1" s="36"/>
      <c r="L1" s="58"/>
      <c r="M1" s="59"/>
      <c r="N1" s="59"/>
      <c r="O1" s="59"/>
      <c r="P1" s="59"/>
      <c r="Q1" s="59"/>
      <c r="R1" s="59"/>
      <c r="S1" s="59"/>
      <c r="T1" s="59"/>
      <c r="U1" s="59"/>
      <c r="V1" s="59"/>
      <c r="W1" s="59"/>
      <c r="X1" s="59"/>
      <c r="Y1" s="59"/>
      <c r="Z1" s="59"/>
    </row>
    <row r="2" spans="1:26" ht="28.5" customHeight="1" x14ac:dyDescent="0.25">
      <c r="A2" s="125" t="s">
        <v>31</v>
      </c>
      <c r="B2" s="61" t="s">
        <v>124</v>
      </c>
      <c r="C2" s="62"/>
      <c r="D2" s="63"/>
      <c r="E2" s="64"/>
      <c r="F2" s="65"/>
      <c r="G2" s="66"/>
      <c r="H2" s="67"/>
      <c r="I2" s="67"/>
      <c r="J2" s="36"/>
      <c r="K2" s="36"/>
      <c r="L2" s="58"/>
      <c r="M2" s="59" t="s">
        <v>32</v>
      </c>
      <c r="N2" s="59"/>
      <c r="O2" s="59"/>
      <c r="P2" s="59"/>
      <c r="Q2" s="59"/>
      <c r="R2" s="59"/>
      <c r="S2" s="59"/>
      <c r="T2" s="59"/>
      <c r="U2" s="59"/>
      <c r="V2" s="59"/>
      <c r="W2" s="59"/>
      <c r="X2" s="59"/>
      <c r="Y2" s="59"/>
      <c r="Z2" s="59"/>
    </row>
    <row r="3" spans="1:26" ht="70.8" customHeight="1" x14ac:dyDescent="0.25">
      <c r="A3" s="168" t="s">
        <v>33</v>
      </c>
      <c r="B3" s="235" t="s">
        <v>555</v>
      </c>
      <c r="C3" s="236"/>
      <c r="D3" s="236"/>
      <c r="E3" s="237"/>
      <c r="F3" s="65"/>
      <c r="G3" s="66"/>
      <c r="H3" s="67"/>
      <c r="I3" s="67"/>
      <c r="J3" s="36"/>
      <c r="K3" s="36"/>
      <c r="L3" s="58"/>
      <c r="M3" s="59" t="s">
        <v>34</v>
      </c>
      <c r="N3" s="59"/>
      <c r="O3" s="59"/>
      <c r="P3" s="59"/>
      <c r="Q3" s="59"/>
      <c r="R3" s="59"/>
      <c r="S3" s="59"/>
      <c r="T3" s="59"/>
      <c r="U3" s="59"/>
      <c r="V3" s="59"/>
      <c r="W3" s="59"/>
      <c r="X3" s="59"/>
      <c r="Y3" s="59"/>
      <c r="Z3" s="59"/>
    </row>
    <row r="4" spans="1:26" ht="18" customHeight="1" x14ac:dyDescent="0.25">
      <c r="A4" s="127" t="s">
        <v>35</v>
      </c>
      <c r="B4" s="70" t="s">
        <v>525</v>
      </c>
      <c r="C4" s="71"/>
      <c r="D4" s="71"/>
      <c r="E4" s="72"/>
      <c r="F4" s="67"/>
      <c r="G4" s="73"/>
      <c r="H4" s="67"/>
      <c r="I4" s="67"/>
      <c r="J4" s="36"/>
      <c r="K4" s="36"/>
      <c r="L4" s="58"/>
      <c r="M4" s="74"/>
      <c r="N4" s="59"/>
      <c r="O4" s="59"/>
      <c r="P4" s="59"/>
      <c r="Q4" s="59"/>
      <c r="R4" s="59"/>
      <c r="S4" s="59"/>
      <c r="T4" s="59"/>
      <c r="U4" s="59"/>
      <c r="V4" s="59"/>
      <c r="W4" s="59"/>
      <c r="X4" s="59"/>
      <c r="Y4" s="59"/>
      <c r="Z4" s="59"/>
    </row>
    <row r="5" spans="1:26" ht="17.399999999999999" customHeight="1" x14ac:dyDescent="0.25">
      <c r="A5" s="128" t="s">
        <v>32</v>
      </c>
      <c r="B5" s="76" t="s">
        <v>34</v>
      </c>
      <c r="C5" s="76" t="s">
        <v>36</v>
      </c>
      <c r="D5" s="76" t="s">
        <v>37</v>
      </c>
      <c r="E5" s="77" t="s">
        <v>38</v>
      </c>
      <c r="F5" s="59"/>
      <c r="G5" s="78"/>
      <c r="H5" s="78"/>
      <c r="I5" s="78"/>
      <c r="J5" s="79"/>
      <c r="K5" s="79"/>
      <c r="L5" s="80"/>
      <c r="M5" s="59" t="s">
        <v>36</v>
      </c>
      <c r="N5" s="59"/>
      <c r="O5" s="59"/>
      <c r="P5" s="59"/>
      <c r="Q5" s="59"/>
      <c r="R5" s="59"/>
      <c r="S5" s="59"/>
      <c r="T5" s="59"/>
      <c r="U5" s="59"/>
      <c r="V5" s="59"/>
      <c r="W5" s="59"/>
      <c r="X5" s="59"/>
      <c r="Y5" s="59"/>
      <c r="Z5" s="59"/>
    </row>
    <row r="6" spans="1:26" ht="15.6" customHeight="1" thickBot="1" x14ac:dyDescent="0.3">
      <c r="A6" s="129">
        <f>COUNTIF(I9:I994,"Pass")</f>
        <v>10</v>
      </c>
      <c r="B6" s="82">
        <f>COUNTIF(I9:I994,"Fail")</f>
        <v>5</v>
      </c>
      <c r="C6" s="82">
        <f>E6-D6-A6-B6</f>
        <v>1</v>
      </c>
      <c r="D6" s="83">
        <f>COUNTIF(H$9:I$994,"N/A")</f>
        <v>0</v>
      </c>
      <c r="E6" s="84">
        <f>COUNTA(A9:A998)</f>
        <v>16</v>
      </c>
      <c r="F6" s="59"/>
      <c r="G6" s="85"/>
      <c r="H6" s="85"/>
      <c r="I6" s="86"/>
      <c r="J6" s="79"/>
      <c r="K6" s="79"/>
      <c r="L6" s="80"/>
      <c r="M6" s="59" t="s">
        <v>37</v>
      </c>
      <c r="N6" s="59"/>
      <c r="O6" s="59"/>
      <c r="P6" s="59"/>
      <c r="Q6" s="59"/>
      <c r="R6" s="59"/>
      <c r="S6" s="59"/>
      <c r="T6" s="59"/>
      <c r="U6" s="59"/>
      <c r="V6" s="59"/>
      <c r="W6" s="59"/>
      <c r="X6" s="59"/>
      <c r="Y6" s="59"/>
      <c r="Z6" s="59"/>
    </row>
    <row r="7" spans="1:26" ht="19.8" customHeight="1" x14ac:dyDescent="0.25">
      <c r="A7" s="130"/>
      <c r="B7" s="59"/>
      <c r="C7" s="59"/>
      <c r="D7" s="59"/>
      <c r="E7" s="59"/>
      <c r="F7" s="59"/>
      <c r="G7" s="59"/>
      <c r="H7" s="87"/>
      <c r="I7" s="79"/>
      <c r="J7" s="79"/>
      <c r="K7" s="79"/>
      <c r="L7" s="80"/>
      <c r="M7" s="59"/>
      <c r="N7" s="59"/>
      <c r="O7" s="59"/>
      <c r="P7" s="59"/>
      <c r="Q7" s="59"/>
      <c r="R7" s="59"/>
      <c r="S7" s="59"/>
      <c r="T7" s="59"/>
      <c r="U7" s="59"/>
      <c r="V7" s="59"/>
      <c r="W7" s="59"/>
      <c r="X7" s="59"/>
      <c r="Y7" s="59"/>
      <c r="Z7" s="59"/>
    </row>
    <row r="8" spans="1:26" ht="25.8" customHeight="1" x14ac:dyDescent="0.25">
      <c r="A8" s="131" t="s">
        <v>40</v>
      </c>
      <c r="B8" s="88" t="s">
        <v>41</v>
      </c>
      <c r="C8" s="88" t="s">
        <v>42</v>
      </c>
      <c r="D8" s="88" t="s">
        <v>43</v>
      </c>
      <c r="E8" s="88" t="s">
        <v>44</v>
      </c>
      <c r="F8" s="88" t="s">
        <v>45</v>
      </c>
      <c r="G8" s="88" t="s">
        <v>46</v>
      </c>
      <c r="H8" s="88" t="s">
        <v>47</v>
      </c>
      <c r="I8" s="89" t="s">
        <v>48</v>
      </c>
      <c r="J8" s="89" t="s">
        <v>49</v>
      </c>
      <c r="K8" s="88" t="s">
        <v>50</v>
      </c>
      <c r="L8" s="90"/>
      <c r="M8" s="59"/>
      <c r="N8" s="59"/>
      <c r="O8" s="59"/>
      <c r="P8" s="59"/>
      <c r="Q8" s="59"/>
      <c r="R8" s="59"/>
      <c r="S8" s="59"/>
      <c r="T8" s="59"/>
      <c r="U8" s="59"/>
      <c r="V8" s="59"/>
      <c r="W8" s="59"/>
      <c r="X8" s="59"/>
      <c r="Y8" s="59"/>
      <c r="Z8" s="59"/>
    </row>
    <row r="9" spans="1:26" s="151" customFormat="1" ht="61.2" customHeight="1" x14ac:dyDescent="0.25">
      <c r="A9" s="169" t="str">
        <f t="shared" ref="A9:A24" si="0">$B$2&amp;"-"&amp;ROW()-8</f>
        <v>Xem chi tiết sản phẩm-1</v>
      </c>
      <c r="B9" s="148" t="s">
        <v>59</v>
      </c>
      <c r="C9" s="148"/>
      <c r="D9" s="148" t="s">
        <v>120</v>
      </c>
      <c r="E9" s="148" t="s">
        <v>122</v>
      </c>
      <c r="F9" s="148" t="s">
        <v>254</v>
      </c>
      <c r="G9" s="148"/>
      <c r="H9" s="161" t="s">
        <v>556</v>
      </c>
      <c r="I9" s="148" t="s">
        <v>32</v>
      </c>
      <c r="J9" s="148"/>
      <c r="K9" s="148"/>
      <c r="L9" s="162"/>
      <c r="M9" s="156"/>
      <c r="N9" s="156"/>
      <c r="O9" s="156"/>
      <c r="P9" s="156"/>
      <c r="Q9" s="156"/>
      <c r="R9" s="156"/>
      <c r="S9" s="156"/>
      <c r="T9" s="156"/>
      <c r="U9" s="156"/>
      <c r="V9" s="156"/>
      <c r="W9" s="156"/>
      <c r="X9" s="156"/>
      <c r="Y9" s="156"/>
      <c r="Z9" s="156"/>
    </row>
    <row r="10" spans="1:26" s="151" customFormat="1" ht="40.200000000000003" customHeight="1" x14ac:dyDescent="0.25">
      <c r="A10" s="169" t="str">
        <f t="shared" si="0"/>
        <v>Xem chi tiết sản phẩm-2</v>
      </c>
      <c r="B10" s="148"/>
      <c r="C10" s="148"/>
      <c r="D10" s="148" t="s">
        <v>121</v>
      </c>
      <c r="E10" s="148" t="s">
        <v>123</v>
      </c>
      <c r="F10" s="148" t="s">
        <v>254</v>
      </c>
      <c r="G10" s="148" t="s">
        <v>499</v>
      </c>
      <c r="H10" s="161" t="s">
        <v>557</v>
      </c>
      <c r="I10" s="148" t="s">
        <v>32</v>
      </c>
      <c r="J10" s="148"/>
      <c r="K10" s="148"/>
      <c r="L10" s="149"/>
      <c r="M10" s="150"/>
      <c r="N10" s="150"/>
      <c r="O10" s="150"/>
      <c r="P10" s="150"/>
      <c r="Q10" s="150"/>
      <c r="R10" s="150"/>
      <c r="S10" s="150"/>
      <c r="T10" s="150"/>
      <c r="U10" s="150"/>
      <c r="V10" s="150"/>
      <c r="W10" s="150"/>
      <c r="X10" s="150"/>
      <c r="Y10" s="150"/>
      <c r="Z10" s="150"/>
    </row>
    <row r="11" spans="1:26" s="151" customFormat="1" ht="64.8" customHeight="1" x14ac:dyDescent="0.25">
      <c r="A11" s="169" t="str">
        <f t="shared" si="0"/>
        <v>Xem chi tiết sản phẩm-3</v>
      </c>
      <c r="B11" s="148" t="s">
        <v>60</v>
      </c>
      <c r="C11" s="148"/>
      <c r="D11" s="148" t="s">
        <v>64</v>
      </c>
      <c r="E11" s="157" t="s">
        <v>564</v>
      </c>
      <c r="F11" s="148" t="s">
        <v>65</v>
      </c>
      <c r="G11" s="148"/>
      <c r="H11" s="148" t="s">
        <v>558</v>
      </c>
      <c r="I11" s="148" t="s">
        <v>32</v>
      </c>
      <c r="J11" s="148"/>
      <c r="K11" s="148"/>
      <c r="L11" s="162"/>
      <c r="M11" s="156"/>
      <c r="N11" s="156"/>
      <c r="O11" s="156"/>
      <c r="P11" s="156"/>
      <c r="Q11" s="156"/>
      <c r="R11" s="156"/>
      <c r="S11" s="156"/>
      <c r="T11" s="156"/>
      <c r="U11" s="156"/>
      <c r="V11" s="156"/>
      <c r="W11" s="156"/>
      <c r="X11" s="156"/>
      <c r="Y11" s="156"/>
      <c r="Z11" s="156"/>
    </row>
    <row r="12" spans="1:26" s="151" customFormat="1" ht="55.05" customHeight="1" x14ac:dyDescent="0.25">
      <c r="A12" s="169" t="str">
        <f t="shared" si="0"/>
        <v>Xem chi tiết sản phẩm-4</v>
      </c>
      <c r="B12" s="148"/>
      <c r="C12" s="148"/>
      <c r="D12" s="148" t="s">
        <v>67</v>
      </c>
      <c r="E12" s="157" t="s">
        <v>564</v>
      </c>
      <c r="F12" s="148" t="s">
        <v>153</v>
      </c>
      <c r="G12" s="148"/>
      <c r="H12" s="148" t="s">
        <v>306</v>
      </c>
      <c r="I12" s="148" t="s">
        <v>32</v>
      </c>
      <c r="J12" s="148"/>
      <c r="K12" s="148"/>
      <c r="L12" s="149"/>
      <c r="M12" s="150"/>
      <c r="N12" s="150"/>
      <c r="O12" s="150"/>
      <c r="P12" s="150"/>
      <c r="Q12" s="150"/>
      <c r="R12" s="150"/>
      <c r="S12" s="150"/>
      <c r="T12" s="150"/>
      <c r="U12" s="150"/>
      <c r="V12" s="150"/>
      <c r="W12" s="150"/>
      <c r="X12" s="150"/>
      <c r="Y12" s="150"/>
      <c r="Z12" s="150"/>
    </row>
    <row r="13" spans="1:26" s="151" customFormat="1" ht="55.05" customHeight="1" x14ac:dyDescent="0.25">
      <c r="A13" s="169" t="str">
        <f t="shared" si="0"/>
        <v>Xem chi tiết sản phẩm-5</v>
      </c>
      <c r="B13" s="148"/>
      <c r="C13" s="148"/>
      <c r="D13" s="148" t="s">
        <v>68</v>
      </c>
      <c r="E13" s="157" t="s">
        <v>564</v>
      </c>
      <c r="F13" s="148" t="s">
        <v>155</v>
      </c>
      <c r="G13" s="148"/>
      <c r="H13" s="148" t="s">
        <v>559</v>
      </c>
      <c r="I13" s="148" t="s">
        <v>34</v>
      </c>
      <c r="J13" s="148"/>
      <c r="K13" s="148" t="s">
        <v>560</v>
      </c>
      <c r="L13" s="149"/>
      <c r="M13" s="150"/>
      <c r="N13" s="150"/>
      <c r="O13" s="150"/>
      <c r="P13" s="150"/>
      <c r="Q13" s="150"/>
      <c r="R13" s="150"/>
      <c r="S13" s="150"/>
      <c r="T13" s="150"/>
      <c r="U13" s="150"/>
      <c r="V13" s="150"/>
      <c r="W13" s="150"/>
      <c r="X13" s="150"/>
      <c r="Y13" s="150"/>
      <c r="Z13" s="150"/>
    </row>
    <row r="14" spans="1:26" s="151" customFormat="1" ht="55.05" customHeight="1" x14ac:dyDescent="0.25">
      <c r="A14" s="169" t="str">
        <f t="shared" si="0"/>
        <v>Xem chi tiết sản phẩm-6</v>
      </c>
      <c r="B14" s="148"/>
      <c r="C14" s="148"/>
      <c r="D14" s="148" t="s">
        <v>69</v>
      </c>
      <c r="E14" s="157" t="s">
        <v>564</v>
      </c>
      <c r="F14" s="148" t="s">
        <v>156</v>
      </c>
      <c r="G14" s="148"/>
      <c r="H14" s="148" t="s">
        <v>337</v>
      </c>
      <c r="I14" s="148" t="s">
        <v>32</v>
      </c>
      <c r="J14" s="148"/>
      <c r="K14" s="148"/>
      <c r="L14" s="149"/>
      <c r="M14" s="150"/>
      <c r="N14" s="150"/>
      <c r="O14" s="150"/>
      <c r="P14" s="150"/>
      <c r="Q14" s="150"/>
      <c r="R14" s="150"/>
      <c r="S14" s="150"/>
      <c r="T14" s="150"/>
      <c r="U14" s="150"/>
      <c r="V14" s="150"/>
      <c r="W14" s="150"/>
      <c r="X14" s="150"/>
      <c r="Y14" s="150"/>
      <c r="Z14" s="150"/>
    </row>
    <row r="15" spans="1:26" s="151" customFormat="1" ht="55.05" customHeight="1" x14ac:dyDescent="0.25">
      <c r="A15" s="169" t="str">
        <f t="shared" si="0"/>
        <v>Xem chi tiết sản phẩm-7</v>
      </c>
      <c r="B15" s="159" t="s">
        <v>62</v>
      </c>
      <c r="C15" s="159" t="s">
        <v>124</v>
      </c>
      <c r="D15" s="159" t="s">
        <v>328</v>
      </c>
      <c r="E15" s="159" t="s">
        <v>125</v>
      </c>
      <c r="F15" s="159" t="s">
        <v>255</v>
      </c>
      <c r="G15" s="159" t="s">
        <v>257</v>
      </c>
      <c r="H15" s="159" t="s">
        <v>330</v>
      </c>
      <c r="I15" s="159" t="s">
        <v>32</v>
      </c>
      <c r="J15" s="159"/>
      <c r="K15" s="159"/>
      <c r="L15" s="149"/>
      <c r="M15" s="150"/>
      <c r="N15" s="150"/>
      <c r="O15" s="150"/>
      <c r="P15" s="150"/>
      <c r="Q15" s="150"/>
      <c r="R15" s="150"/>
      <c r="S15" s="150"/>
      <c r="T15" s="150"/>
      <c r="U15" s="150"/>
      <c r="V15" s="150"/>
      <c r="W15" s="150"/>
      <c r="X15" s="150"/>
      <c r="Y15" s="150"/>
      <c r="Z15" s="150"/>
    </row>
    <row r="16" spans="1:26" s="176" customFormat="1" ht="75.599999999999994" customHeight="1" x14ac:dyDescent="0.25">
      <c r="A16" s="169" t="str">
        <f t="shared" si="0"/>
        <v>Xem chi tiết sản phẩm-8</v>
      </c>
      <c r="B16" s="159"/>
      <c r="C16" s="159"/>
      <c r="D16" s="159" t="s">
        <v>327</v>
      </c>
      <c r="E16" s="159" t="s">
        <v>256</v>
      </c>
      <c r="F16" s="159" t="s">
        <v>255</v>
      </c>
      <c r="G16" s="159" t="s">
        <v>479</v>
      </c>
      <c r="H16" s="157" t="s">
        <v>568</v>
      </c>
      <c r="I16" s="159" t="s">
        <v>34</v>
      </c>
      <c r="J16" s="159"/>
      <c r="K16" s="159" t="s">
        <v>561</v>
      </c>
      <c r="L16" s="149"/>
      <c r="M16" s="150"/>
      <c r="N16" s="150"/>
      <c r="O16" s="150"/>
      <c r="P16" s="150"/>
      <c r="Q16" s="150"/>
      <c r="R16" s="150"/>
      <c r="S16" s="150"/>
      <c r="T16" s="150"/>
      <c r="U16" s="150"/>
      <c r="V16" s="150"/>
      <c r="W16" s="150"/>
      <c r="X16" s="150"/>
      <c r="Y16" s="150"/>
      <c r="Z16" s="150"/>
    </row>
    <row r="17" spans="1:26" s="166" customFormat="1" ht="97.8" customHeight="1" x14ac:dyDescent="0.25">
      <c r="A17" s="169" t="str">
        <f t="shared" si="0"/>
        <v>Xem chi tiết sản phẩm-9</v>
      </c>
      <c r="B17" s="157"/>
      <c r="C17" s="157"/>
      <c r="D17" s="157" t="s">
        <v>482</v>
      </c>
      <c r="E17" s="157" t="s">
        <v>480</v>
      </c>
      <c r="F17" s="157" t="s">
        <v>255</v>
      </c>
      <c r="G17" s="157" t="s">
        <v>481</v>
      </c>
      <c r="H17" s="157" t="s">
        <v>563</v>
      </c>
      <c r="I17" s="157" t="s">
        <v>34</v>
      </c>
      <c r="J17" s="157"/>
      <c r="K17" s="157" t="s">
        <v>562</v>
      </c>
      <c r="L17" s="157"/>
      <c r="M17" s="165"/>
      <c r="N17" s="165"/>
      <c r="O17" s="165"/>
      <c r="P17" s="165"/>
      <c r="Q17" s="165"/>
      <c r="R17" s="165"/>
      <c r="S17" s="165"/>
      <c r="T17" s="165"/>
      <c r="U17" s="165"/>
      <c r="V17" s="165"/>
      <c r="W17" s="165"/>
      <c r="X17" s="165"/>
      <c r="Y17" s="165"/>
      <c r="Z17" s="165"/>
    </row>
    <row r="18" spans="1:26" s="166" customFormat="1" ht="58.2" customHeight="1" x14ac:dyDescent="0.25">
      <c r="A18" s="169" t="str">
        <f t="shared" si="0"/>
        <v>Xem chi tiết sản phẩm-10</v>
      </c>
      <c r="B18" s="165"/>
      <c r="C18" s="165"/>
      <c r="D18" s="157" t="s">
        <v>126</v>
      </c>
      <c r="E18" s="157" t="s">
        <v>325</v>
      </c>
      <c r="F18" s="157" t="s">
        <v>255</v>
      </c>
      <c r="G18" s="157" t="s">
        <v>326</v>
      </c>
      <c r="H18" s="157" t="s">
        <v>329</v>
      </c>
      <c r="I18" s="158" t="s">
        <v>36</v>
      </c>
      <c r="J18" s="165"/>
      <c r="K18" s="165"/>
      <c r="L18" s="165"/>
      <c r="M18" s="165"/>
      <c r="N18" s="165"/>
      <c r="O18" s="165"/>
      <c r="P18" s="165"/>
      <c r="Q18" s="165"/>
      <c r="R18" s="165"/>
      <c r="S18" s="165"/>
      <c r="T18" s="165"/>
      <c r="U18" s="165"/>
      <c r="V18" s="165"/>
      <c r="W18" s="165"/>
      <c r="X18" s="165"/>
      <c r="Y18" s="165"/>
      <c r="Z18" s="165"/>
    </row>
    <row r="19" spans="1:26" s="160" customFormat="1" ht="41.4" customHeight="1" x14ac:dyDescent="0.2">
      <c r="A19" s="169" t="str">
        <f t="shared" si="0"/>
        <v>Xem chi tiết sản phẩm-11</v>
      </c>
      <c r="B19" s="158"/>
      <c r="C19" s="158" t="s">
        <v>485</v>
      </c>
      <c r="D19" s="157" t="s">
        <v>486</v>
      </c>
      <c r="E19" s="157" t="s">
        <v>487</v>
      </c>
      <c r="F19" s="158" t="s">
        <v>255</v>
      </c>
      <c r="G19" s="158" t="s">
        <v>488</v>
      </c>
      <c r="H19" s="157" t="s">
        <v>489</v>
      </c>
      <c r="I19" s="159" t="s">
        <v>32</v>
      </c>
      <c r="J19" s="158"/>
      <c r="K19" s="158"/>
      <c r="L19" s="158"/>
      <c r="M19" s="158"/>
      <c r="N19" s="158"/>
      <c r="O19" s="158"/>
      <c r="P19" s="158"/>
      <c r="Q19" s="158"/>
      <c r="R19" s="158"/>
      <c r="S19" s="158"/>
      <c r="T19" s="158"/>
      <c r="U19" s="158"/>
      <c r="V19" s="158"/>
      <c r="W19" s="158"/>
      <c r="X19" s="158"/>
      <c r="Y19" s="158"/>
      <c r="Z19" s="158"/>
    </row>
    <row r="20" spans="1:26" s="213" customFormat="1" ht="50.4" customHeight="1" x14ac:dyDescent="0.2">
      <c r="A20" s="169" t="str">
        <f t="shared" si="0"/>
        <v>Xem chi tiết sản phẩm-12</v>
      </c>
      <c r="B20" s="157"/>
      <c r="C20" s="157"/>
      <c r="D20" s="157" t="s">
        <v>490</v>
      </c>
      <c r="E20" s="157" t="s">
        <v>487</v>
      </c>
      <c r="F20" s="157" t="s">
        <v>255</v>
      </c>
      <c r="G20" s="157" t="s">
        <v>257</v>
      </c>
      <c r="H20" s="157" t="s">
        <v>491</v>
      </c>
      <c r="I20" s="159" t="s">
        <v>32</v>
      </c>
      <c r="J20" s="157"/>
      <c r="K20" s="157"/>
      <c r="L20" s="157"/>
      <c r="M20" s="157"/>
      <c r="N20" s="157"/>
      <c r="O20" s="157"/>
      <c r="P20" s="157"/>
      <c r="Q20" s="157"/>
      <c r="R20" s="157"/>
      <c r="S20" s="157"/>
      <c r="T20" s="157"/>
      <c r="U20" s="157"/>
      <c r="V20" s="157"/>
      <c r="W20" s="157"/>
      <c r="X20" s="157"/>
      <c r="Y20" s="157"/>
      <c r="Z20" s="157"/>
    </row>
    <row r="21" spans="1:26" s="151" customFormat="1" ht="76.8" customHeight="1" x14ac:dyDescent="0.25">
      <c r="A21" s="169" t="str">
        <f t="shared" si="0"/>
        <v>Xem chi tiết sản phẩm-13</v>
      </c>
      <c r="B21" s="171"/>
      <c r="C21" s="157" t="s">
        <v>445</v>
      </c>
      <c r="D21" s="157" t="s">
        <v>446</v>
      </c>
      <c r="E21" s="157" t="s">
        <v>564</v>
      </c>
      <c r="F21" s="164" t="s">
        <v>448</v>
      </c>
      <c r="G21" s="159" t="s">
        <v>516</v>
      </c>
      <c r="H21" s="159" t="s">
        <v>565</v>
      </c>
      <c r="I21" s="159" t="s">
        <v>32</v>
      </c>
      <c r="J21" s="159"/>
      <c r="K21" s="159"/>
      <c r="L21" s="149"/>
      <c r="M21" s="150"/>
      <c r="N21" s="150"/>
      <c r="O21" s="150"/>
      <c r="P21" s="150"/>
      <c r="Q21" s="150"/>
      <c r="R21" s="150"/>
      <c r="S21" s="150"/>
      <c r="T21" s="150"/>
      <c r="U21" s="150"/>
      <c r="V21" s="150"/>
      <c r="W21" s="150"/>
      <c r="X21" s="150"/>
      <c r="Y21" s="150"/>
      <c r="Z21" s="150"/>
    </row>
    <row r="22" spans="1:26" s="151" customFormat="1" ht="76.8" customHeight="1" x14ac:dyDescent="0.25">
      <c r="A22" s="169" t="str">
        <f t="shared" si="0"/>
        <v>Xem chi tiết sản phẩm-14</v>
      </c>
      <c r="B22" s="171"/>
      <c r="C22" s="170"/>
      <c r="D22" s="170" t="s">
        <v>447</v>
      </c>
      <c r="E22" s="157" t="s">
        <v>564</v>
      </c>
      <c r="F22" s="164" t="s">
        <v>512</v>
      </c>
      <c r="G22" s="159" t="s">
        <v>507</v>
      </c>
      <c r="H22" s="159" t="s">
        <v>566</v>
      </c>
      <c r="I22" s="159" t="s">
        <v>34</v>
      </c>
      <c r="J22" s="159"/>
      <c r="K22" s="159" t="s">
        <v>570</v>
      </c>
      <c r="L22" s="149"/>
      <c r="M22" s="150"/>
      <c r="N22" s="150"/>
      <c r="O22" s="150"/>
      <c r="P22" s="150"/>
      <c r="Q22" s="150"/>
      <c r="R22" s="150"/>
      <c r="S22" s="150"/>
      <c r="T22" s="150"/>
      <c r="U22" s="150"/>
      <c r="V22" s="150"/>
      <c r="W22" s="150"/>
      <c r="X22" s="150"/>
      <c r="Y22" s="150"/>
      <c r="Z22" s="150"/>
    </row>
    <row r="23" spans="1:26" s="151" customFormat="1" ht="80.400000000000006" customHeight="1" x14ac:dyDescent="0.25">
      <c r="A23" s="169" t="str">
        <f t="shared" si="0"/>
        <v>Xem chi tiết sản phẩm-15</v>
      </c>
      <c r="B23" s="157"/>
      <c r="C23" s="157"/>
      <c r="D23" s="157" t="s">
        <v>510</v>
      </c>
      <c r="E23" s="157" t="s">
        <v>564</v>
      </c>
      <c r="F23" s="164" t="s">
        <v>513</v>
      </c>
      <c r="G23" s="159" t="s">
        <v>508</v>
      </c>
      <c r="H23" s="157" t="s">
        <v>569</v>
      </c>
      <c r="I23" s="159" t="s">
        <v>34</v>
      </c>
      <c r="J23" s="159"/>
      <c r="K23" s="159" t="s">
        <v>562</v>
      </c>
      <c r="L23" s="149"/>
      <c r="M23" s="150"/>
      <c r="N23" s="150"/>
      <c r="O23" s="150"/>
      <c r="P23" s="150"/>
      <c r="Q23" s="150"/>
      <c r="R23" s="150"/>
      <c r="S23" s="150"/>
      <c r="T23" s="150"/>
      <c r="U23" s="150"/>
      <c r="V23" s="150"/>
      <c r="W23" s="150"/>
      <c r="X23" s="150"/>
      <c r="Y23" s="150"/>
      <c r="Z23" s="150"/>
    </row>
    <row r="24" spans="1:26" s="213" customFormat="1" ht="64.2" customHeight="1" x14ac:dyDescent="0.2">
      <c r="A24" s="169" t="str">
        <f t="shared" si="0"/>
        <v>Xem chi tiết sản phẩm-16</v>
      </c>
      <c r="B24" s="157"/>
      <c r="C24" s="157"/>
      <c r="D24" s="157" t="s">
        <v>511</v>
      </c>
      <c r="E24" s="157" t="s">
        <v>564</v>
      </c>
      <c r="F24" s="157" t="s">
        <v>514</v>
      </c>
      <c r="G24" s="157" t="s">
        <v>515</v>
      </c>
      <c r="H24" s="157" t="s">
        <v>567</v>
      </c>
      <c r="I24" s="159" t="s">
        <v>32</v>
      </c>
      <c r="J24" s="157"/>
      <c r="K24" s="157"/>
      <c r="L24" s="157"/>
      <c r="M24" s="157"/>
      <c r="N24" s="157"/>
      <c r="O24" s="157"/>
      <c r="P24" s="157"/>
      <c r="Q24" s="157"/>
      <c r="R24" s="157"/>
      <c r="S24" s="157"/>
      <c r="T24" s="157"/>
      <c r="U24" s="157"/>
      <c r="V24" s="157"/>
      <c r="W24" s="157"/>
      <c r="X24" s="157"/>
      <c r="Y24" s="157"/>
      <c r="Z24" s="157"/>
    </row>
    <row r="25" spans="1:26" ht="12.75" customHeight="1" x14ac:dyDescent="0.25">
      <c r="A25" s="133"/>
      <c r="B25" s="8"/>
      <c r="C25" s="8"/>
      <c r="D25" s="8"/>
      <c r="E25" s="8"/>
      <c r="F25" s="8"/>
      <c r="G25" s="8"/>
      <c r="H25" s="8"/>
      <c r="I25" s="8"/>
      <c r="J25" s="8"/>
      <c r="K25" s="8"/>
      <c r="L25" s="94"/>
      <c r="M25" s="8"/>
      <c r="N25" s="8"/>
      <c r="O25" s="8"/>
      <c r="P25" s="8"/>
      <c r="Q25" s="8"/>
      <c r="R25" s="8"/>
      <c r="S25" s="8"/>
      <c r="T25" s="8"/>
      <c r="U25" s="8"/>
      <c r="V25" s="8"/>
      <c r="W25" s="8"/>
      <c r="X25" s="8"/>
      <c r="Y25" s="8"/>
      <c r="Z25" s="8"/>
    </row>
    <row r="26" spans="1:26" ht="12.75" customHeight="1" x14ac:dyDescent="0.25">
      <c r="A26" s="133"/>
      <c r="B26" s="8"/>
      <c r="C26" s="8"/>
      <c r="D26" s="8"/>
      <c r="E26" s="8"/>
      <c r="F26" s="8"/>
      <c r="G26" s="8"/>
      <c r="H26" s="8"/>
      <c r="I26" s="8"/>
      <c r="J26" s="8"/>
      <c r="K26" s="8"/>
      <c r="L26" s="94"/>
      <c r="M26" s="8"/>
      <c r="N26" s="8"/>
      <c r="O26" s="8"/>
      <c r="P26" s="8"/>
      <c r="Q26" s="8"/>
      <c r="R26" s="8"/>
      <c r="S26" s="8"/>
      <c r="T26" s="8"/>
      <c r="U26" s="8"/>
      <c r="V26" s="8"/>
      <c r="W26" s="8"/>
      <c r="X26" s="8"/>
      <c r="Y26" s="8"/>
      <c r="Z26" s="8"/>
    </row>
    <row r="27" spans="1:26" ht="12.75" customHeight="1" x14ac:dyDescent="0.25">
      <c r="A27" s="133"/>
      <c r="B27" s="8"/>
      <c r="C27" s="8"/>
      <c r="D27" s="8"/>
      <c r="E27" s="8"/>
      <c r="F27" s="8"/>
      <c r="G27" s="8"/>
      <c r="H27" s="8"/>
      <c r="I27" s="8"/>
      <c r="J27" s="8"/>
      <c r="K27" s="8"/>
      <c r="L27" s="94"/>
      <c r="M27" s="8"/>
      <c r="N27" s="8"/>
      <c r="O27" s="8"/>
      <c r="P27" s="8"/>
      <c r="Q27" s="8"/>
      <c r="R27" s="8"/>
      <c r="S27" s="8"/>
      <c r="T27" s="8"/>
      <c r="U27" s="8"/>
      <c r="V27" s="8"/>
      <c r="W27" s="8"/>
      <c r="X27" s="8"/>
      <c r="Y27" s="8"/>
      <c r="Z27" s="8"/>
    </row>
    <row r="28" spans="1:26" ht="12.75" customHeight="1" x14ac:dyDescent="0.25">
      <c r="A28" s="133"/>
      <c r="B28" s="8"/>
      <c r="C28" s="8"/>
      <c r="D28" s="8"/>
      <c r="E28" s="8"/>
      <c r="F28" s="8"/>
      <c r="G28" s="8"/>
      <c r="H28" s="8"/>
      <c r="I28" s="8"/>
      <c r="J28" s="8"/>
      <c r="K28" s="8"/>
      <c r="L28" s="94"/>
      <c r="M28" s="8"/>
      <c r="N28" s="8"/>
      <c r="O28" s="8"/>
      <c r="P28" s="8"/>
      <c r="Q28" s="8"/>
      <c r="R28" s="8"/>
      <c r="S28" s="8"/>
      <c r="T28" s="8"/>
      <c r="U28" s="8"/>
      <c r="V28" s="8"/>
      <c r="W28" s="8"/>
      <c r="X28" s="8"/>
      <c r="Y28" s="8"/>
      <c r="Z28" s="8"/>
    </row>
    <row r="29" spans="1:26" ht="12.75" customHeight="1" x14ac:dyDescent="0.25">
      <c r="A29" s="133"/>
      <c r="B29" s="8"/>
      <c r="C29" s="8"/>
      <c r="D29" s="8"/>
      <c r="E29" s="8"/>
      <c r="F29" s="8"/>
      <c r="G29" s="8"/>
      <c r="H29" s="8"/>
      <c r="I29" s="8"/>
      <c r="J29" s="8"/>
      <c r="K29" s="8"/>
      <c r="L29" s="94"/>
      <c r="M29" s="8"/>
      <c r="N29" s="8"/>
      <c r="O29" s="8"/>
      <c r="P29" s="8"/>
      <c r="Q29" s="8"/>
      <c r="R29" s="8"/>
      <c r="S29" s="8"/>
      <c r="T29" s="8"/>
      <c r="U29" s="8"/>
      <c r="V29" s="8"/>
      <c r="W29" s="8"/>
      <c r="X29" s="8"/>
      <c r="Y29" s="8"/>
      <c r="Z29" s="8"/>
    </row>
    <row r="30" spans="1:26" ht="12.75" customHeight="1" x14ac:dyDescent="0.25">
      <c r="A30" s="133"/>
      <c r="B30" s="8"/>
      <c r="C30" s="8"/>
      <c r="D30" s="8"/>
      <c r="E30" s="8"/>
      <c r="F30" s="8"/>
      <c r="G30" s="8"/>
      <c r="H30" s="8"/>
      <c r="I30" s="8"/>
      <c r="J30" s="8"/>
      <c r="K30" s="8"/>
      <c r="L30" s="94"/>
      <c r="M30" s="8"/>
      <c r="N30" s="8"/>
      <c r="O30" s="8"/>
      <c r="P30" s="8"/>
      <c r="Q30" s="8"/>
      <c r="R30" s="8"/>
      <c r="S30" s="8"/>
      <c r="T30" s="8"/>
      <c r="U30" s="8"/>
      <c r="V30" s="8"/>
      <c r="W30" s="8"/>
      <c r="X30" s="8"/>
      <c r="Y30" s="8"/>
      <c r="Z30" s="8"/>
    </row>
    <row r="31" spans="1:26" ht="12.75" customHeight="1" x14ac:dyDescent="0.25">
      <c r="A31" s="133"/>
      <c r="B31" s="8"/>
      <c r="C31" s="8"/>
      <c r="D31" s="8"/>
      <c r="E31" s="8"/>
      <c r="F31" s="8"/>
      <c r="G31" s="8"/>
      <c r="H31" s="8"/>
      <c r="I31" s="8"/>
      <c r="J31" s="8"/>
      <c r="K31" s="8"/>
      <c r="L31" s="94"/>
      <c r="M31" s="8"/>
      <c r="N31" s="8"/>
      <c r="O31" s="8"/>
      <c r="P31" s="8"/>
      <c r="Q31" s="8"/>
      <c r="R31" s="8"/>
      <c r="S31" s="8"/>
      <c r="T31" s="8"/>
      <c r="U31" s="8"/>
      <c r="V31" s="8"/>
      <c r="W31" s="8"/>
      <c r="X31" s="8"/>
      <c r="Y31" s="8"/>
      <c r="Z31" s="8"/>
    </row>
    <row r="32" spans="1:26" ht="12.75" customHeight="1" x14ac:dyDescent="0.25">
      <c r="A32" s="133"/>
      <c r="B32" s="8"/>
      <c r="C32" s="8"/>
      <c r="D32" s="8"/>
      <c r="E32" s="8"/>
      <c r="F32" s="8"/>
      <c r="G32" s="8"/>
      <c r="H32" s="8"/>
      <c r="I32" s="8"/>
      <c r="J32" s="8"/>
      <c r="K32" s="8"/>
      <c r="L32" s="94"/>
      <c r="M32" s="8"/>
      <c r="N32" s="8"/>
      <c r="O32" s="8"/>
      <c r="P32" s="8"/>
      <c r="Q32" s="8"/>
      <c r="R32" s="8"/>
      <c r="S32" s="8"/>
      <c r="T32" s="8"/>
      <c r="U32" s="8"/>
      <c r="V32" s="8"/>
      <c r="W32" s="8"/>
      <c r="X32" s="8"/>
      <c r="Y32" s="8"/>
      <c r="Z32" s="8"/>
    </row>
    <row r="33" spans="1:26" ht="12.75" customHeight="1" x14ac:dyDescent="0.25">
      <c r="A33" s="133"/>
      <c r="B33" s="8"/>
      <c r="C33" s="8"/>
      <c r="D33" s="8"/>
      <c r="E33" s="8"/>
      <c r="F33" s="8"/>
      <c r="G33" s="8"/>
      <c r="H33" s="8"/>
      <c r="I33" s="8"/>
      <c r="J33" s="8"/>
      <c r="K33" s="8"/>
      <c r="L33" s="94"/>
      <c r="M33" s="8"/>
      <c r="N33" s="8"/>
      <c r="O33" s="8"/>
      <c r="P33" s="8"/>
      <c r="Q33" s="8"/>
      <c r="R33" s="8"/>
      <c r="S33" s="8"/>
      <c r="T33" s="8"/>
      <c r="U33" s="8"/>
      <c r="V33" s="8"/>
      <c r="W33" s="8"/>
      <c r="X33" s="8"/>
      <c r="Y33" s="8"/>
      <c r="Z33" s="8"/>
    </row>
    <row r="34" spans="1:26" ht="12.75" customHeight="1" x14ac:dyDescent="0.25">
      <c r="A34" s="133"/>
      <c r="B34" s="8"/>
      <c r="C34" s="8"/>
      <c r="D34" s="8"/>
      <c r="E34" s="8"/>
      <c r="F34" s="8"/>
      <c r="G34" s="8"/>
      <c r="H34" s="8"/>
      <c r="I34" s="8"/>
      <c r="J34" s="8"/>
      <c r="K34" s="8"/>
      <c r="L34" s="94"/>
      <c r="M34" s="8"/>
      <c r="N34" s="8"/>
      <c r="O34" s="8"/>
      <c r="P34" s="8"/>
      <c r="Q34" s="8"/>
      <c r="R34" s="8"/>
      <c r="S34" s="8"/>
      <c r="T34" s="8"/>
      <c r="U34" s="8"/>
      <c r="V34" s="8"/>
      <c r="W34" s="8"/>
      <c r="X34" s="8"/>
      <c r="Y34" s="8"/>
      <c r="Z34" s="8"/>
    </row>
    <row r="35" spans="1:26" ht="12.75" customHeight="1" x14ac:dyDescent="0.25">
      <c r="A35" s="133"/>
      <c r="B35" s="8"/>
      <c r="C35" s="8"/>
      <c r="D35" s="8"/>
      <c r="E35" s="8"/>
      <c r="F35" s="8"/>
      <c r="G35" s="8"/>
      <c r="H35" s="8"/>
      <c r="I35" s="8"/>
      <c r="J35" s="8"/>
      <c r="K35" s="8"/>
      <c r="L35" s="94"/>
      <c r="M35" s="8"/>
      <c r="N35" s="8"/>
      <c r="O35" s="8"/>
      <c r="P35" s="8"/>
      <c r="Q35" s="8"/>
      <c r="R35" s="8"/>
      <c r="S35" s="8"/>
      <c r="T35" s="8"/>
      <c r="U35" s="8"/>
      <c r="V35" s="8"/>
      <c r="W35" s="8"/>
      <c r="X35" s="8"/>
      <c r="Y35" s="8"/>
      <c r="Z35" s="8"/>
    </row>
    <row r="36" spans="1:26" ht="12.75" customHeight="1" x14ac:dyDescent="0.25">
      <c r="A36" s="133"/>
      <c r="B36" s="8"/>
      <c r="C36" s="8"/>
      <c r="D36" s="8"/>
      <c r="E36" s="8"/>
      <c r="F36" s="8"/>
      <c r="G36" s="8"/>
      <c r="H36" s="8"/>
      <c r="I36" s="8"/>
      <c r="J36" s="8"/>
      <c r="K36" s="8"/>
      <c r="L36" s="94"/>
      <c r="M36" s="8"/>
      <c r="N36" s="8"/>
      <c r="O36" s="8"/>
      <c r="P36" s="8"/>
      <c r="Q36" s="8"/>
      <c r="R36" s="8"/>
      <c r="S36" s="8"/>
      <c r="T36" s="8"/>
      <c r="U36" s="8"/>
      <c r="V36" s="8"/>
      <c r="W36" s="8"/>
      <c r="X36" s="8"/>
      <c r="Y36" s="8"/>
      <c r="Z36" s="8"/>
    </row>
    <row r="37" spans="1:26" ht="12.75" customHeight="1" x14ac:dyDescent="0.25">
      <c r="A37" s="133"/>
      <c r="B37" s="8"/>
      <c r="C37" s="8"/>
      <c r="D37" s="8"/>
      <c r="E37" s="8"/>
      <c r="F37" s="8"/>
      <c r="G37" s="8"/>
      <c r="H37" s="8"/>
      <c r="I37" s="8"/>
      <c r="J37" s="8"/>
      <c r="K37" s="8"/>
      <c r="L37" s="94"/>
      <c r="M37" s="8"/>
      <c r="N37" s="8"/>
      <c r="O37" s="8"/>
      <c r="P37" s="8"/>
      <c r="Q37" s="8"/>
      <c r="R37" s="8"/>
      <c r="S37" s="8"/>
      <c r="T37" s="8"/>
      <c r="U37" s="8"/>
      <c r="V37" s="8"/>
      <c r="W37" s="8"/>
      <c r="X37" s="8"/>
      <c r="Y37" s="8"/>
      <c r="Z37" s="8"/>
    </row>
    <row r="38" spans="1:26" ht="12.75" customHeight="1" x14ac:dyDescent="0.25">
      <c r="A38" s="133"/>
      <c r="B38" s="8"/>
      <c r="C38" s="8"/>
      <c r="D38" s="8"/>
      <c r="E38" s="8"/>
      <c r="F38" s="8"/>
      <c r="G38" s="8"/>
      <c r="H38" s="8"/>
      <c r="I38" s="8"/>
      <c r="J38" s="8"/>
      <c r="K38" s="8"/>
      <c r="L38" s="94"/>
      <c r="M38" s="8"/>
      <c r="N38" s="8"/>
      <c r="O38" s="8"/>
      <c r="P38" s="8"/>
      <c r="Q38" s="8"/>
      <c r="R38" s="8"/>
      <c r="S38" s="8"/>
      <c r="T38" s="8"/>
      <c r="U38" s="8"/>
      <c r="V38" s="8"/>
      <c r="W38" s="8"/>
      <c r="X38" s="8"/>
      <c r="Y38" s="8"/>
      <c r="Z38" s="8"/>
    </row>
    <row r="39" spans="1:26" ht="12.75" customHeight="1" x14ac:dyDescent="0.25">
      <c r="A39" s="133"/>
      <c r="B39" s="8"/>
      <c r="C39" s="8"/>
      <c r="D39" s="8"/>
      <c r="E39" s="8"/>
      <c r="F39" s="8"/>
      <c r="G39" s="8"/>
      <c r="H39" s="8"/>
      <c r="I39" s="8"/>
      <c r="J39" s="8"/>
      <c r="K39" s="8"/>
      <c r="L39" s="94"/>
      <c r="M39" s="8"/>
      <c r="N39" s="8"/>
      <c r="O39" s="8"/>
      <c r="P39" s="8"/>
      <c r="Q39" s="8"/>
      <c r="R39" s="8"/>
      <c r="S39" s="8"/>
      <c r="T39" s="8"/>
      <c r="U39" s="8"/>
      <c r="V39" s="8"/>
      <c r="W39" s="8"/>
      <c r="X39" s="8"/>
      <c r="Y39" s="8"/>
      <c r="Z39" s="8"/>
    </row>
    <row r="40" spans="1:26" ht="12.75" customHeight="1" x14ac:dyDescent="0.25">
      <c r="A40" s="133"/>
      <c r="B40" s="8"/>
      <c r="C40" s="8"/>
      <c r="D40" s="8"/>
      <c r="E40" s="8"/>
      <c r="F40" s="8"/>
      <c r="G40" s="8"/>
      <c r="H40" s="8"/>
      <c r="I40" s="8"/>
      <c r="J40" s="8"/>
      <c r="K40" s="8"/>
      <c r="L40" s="94"/>
      <c r="M40" s="8"/>
      <c r="N40" s="8"/>
      <c r="O40" s="8"/>
      <c r="P40" s="8"/>
      <c r="Q40" s="8"/>
      <c r="R40" s="8"/>
      <c r="S40" s="8"/>
      <c r="T40" s="8"/>
      <c r="U40" s="8"/>
      <c r="V40" s="8"/>
      <c r="W40" s="8"/>
      <c r="X40" s="8"/>
      <c r="Y40" s="8"/>
      <c r="Z40" s="8"/>
    </row>
    <row r="41" spans="1:26" ht="12.75" customHeight="1" x14ac:dyDescent="0.25">
      <c r="A41" s="133"/>
      <c r="B41" s="8"/>
      <c r="C41" s="8"/>
      <c r="D41" s="8"/>
      <c r="E41" s="8"/>
      <c r="F41" s="8"/>
      <c r="G41" s="8"/>
      <c r="H41" s="8"/>
      <c r="I41" s="8"/>
      <c r="J41" s="8"/>
      <c r="K41" s="8"/>
      <c r="L41" s="94"/>
      <c r="M41" s="8"/>
      <c r="N41" s="8"/>
      <c r="O41" s="8"/>
      <c r="P41" s="8"/>
      <c r="Q41" s="8"/>
      <c r="R41" s="8"/>
      <c r="S41" s="8"/>
      <c r="T41" s="8"/>
      <c r="U41" s="8"/>
      <c r="V41" s="8"/>
      <c r="W41" s="8"/>
      <c r="X41" s="8"/>
      <c r="Y41" s="8"/>
      <c r="Z41" s="8"/>
    </row>
    <row r="42" spans="1:26" ht="12.75" customHeight="1" x14ac:dyDescent="0.25">
      <c r="A42" s="133"/>
      <c r="B42" s="8"/>
      <c r="C42" s="8"/>
      <c r="D42" s="8"/>
      <c r="E42" s="8"/>
      <c r="F42" s="8"/>
      <c r="G42" s="8"/>
      <c r="H42" s="8"/>
      <c r="I42" s="8"/>
      <c r="J42" s="8"/>
      <c r="K42" s="8"/>
      <c r="L42" s="94"/>
      <c r="M42" s="8"/>
      <c r="N42" s="8"/>
      <c r="O42" s="8"/>
      <c r="P42" s="8"/>
      <c r="Q42" s="8"/>
      <c r="R42" s="8"/>
      <c r="S42" s="8"/>
      <c r="T42" s="8"/>
      <c r="U42" s="8"/>
      <c r="V42" s="8"/>
      <c r="W42" s="8"/>
      <c r="X42" s="8"/>
      <c r="Y42" s="8"/>
      <c r="Z42" s="8"/>
    </row>
    <row r="43" spans="1:26" ht="12.75" customHeight="1" x14ac:dyDescent="0.25">
      <c r="A43" s="133"/>
      <c r="B43" s="8"/>
      <c r="C43" s="8"/>
      <c r="D43" s="8"/>
      <c r="E43" s="8"/>
      <c r="F43" s="8"/>
      <c r="G43" s="8"/>
      <c r="H43" s="8"/>
      <c r="I43" s="8"/>
      <c r="J43" s="8"/>
      <c r="K43" s="8"/>
      <c r="L43" s="94"/>
      <c r="M43" s="8"/>
      <c r="N43" s="8"/>
      <c r="O43" s="8"/>
      <c r="P43" s="8"/>
      <c r="Q43" s="8"/>
      <c r="R43" s="8"/>
      <c r="S43" s="8"/>
      <c r="T43" s="8"/>
      <c r="U43" s="8"/>
      <c r="V43" s="8"/>
      <c r="W43" s="8"/>
      <c r="X43" s="8"/>
      <c r="Y43" s="8"/>
      <c r="Z43" s="8"/>
    </row>
    <row r="44" spans="1:26" ht="12.75" customHeight="1" x14ac:dyDescent="0.25">
      <c r="A44" s="133"/>
      <c r="B44" s="8"/>
      <c r="C44" s="8"/>
      <c r="D44" s="8"/>
      <c r="E44" s="8"/>
      <c r="F44" s="8"/>
      <c r="G44" s="8"/>
      <c r="H44" s="8"/>
      <c r="I44" s="8"/>
      <c r="J44" s="8"/>
      <c r="K44" s="8"/>
      <c r="L44" s="94"/>
      <c r="M44" s="8"/>
      <c r="N44" s="8"/>
      <c r="O44" s="8"/>
      <c r="P44" s="8"/>
      <c r="Q44" s="8"/>
      <c r="R44" s="8"/>
      <c r="S44" s="8"/>
      <c r="T44" s="8"/>
      <c r="U44" s="8"/>
      <c r="V44" s="8"/>
      <c r="W44" s="8"/>
      <c r="X44" s="8"/>
      <c r="Y44" s="8"/>
      <c r="Z44" s="8"/>
    </row>
    <row r="45" spans="1:26" ht="12.75" customHeight="1" x14ac:dyDescent="0.25">
      <c r="A45" s="133"/>
      <c r="B45" s="8"/>
      <c r="C45" s="8"/>
      <c r="D45" s="8"/>
      <c r="E45" s="8"/>
      <c r="F45" s="8"/>
      <c r="G45" s="8"/>
      <c r="H45" s="8"/>
      <c r="I45" s="8"/>
      <c r="J45" s="8"/>
      <c r="K45" s="8"/>
      <c r="L45" s="94"/>
      <c r="M45" s="8"/>
      <c r="N45" s="8"/>
      <c r="O45" s="8"/>
      <c r="P45" s="8"/>
      <c r="Q45" s="8"/>
      <c r="R45" s="8"/>
      <c r="S45" s="8"/>
      <c r="T45" s="8"/>
      <c r="U45" s="8"/>
      <c r="V45" s="8"/>
      <c r="W45" s="8"/>
      <c r="X45" s="8"/>
      <c r="Y45" s="8"/>
      <c r="Z45" s="8"/>
    </row>
    <row r="46" spans="1:26" ht="12.75" customHeight="1" x14ac:dyDescent="0.25">
      <c r="A46" s="133"/>
      <c r="B46" s="8"/>
      <c r="C46" s="8"/>
      <c r="D46" s="8"/>
      <c r="E46" s="8"/>
      <c r="F46" s="8"/>
      <c r="G46" s="8"/>
      <c r="H46" s="8"/>
      <c r="I46" s="8"/>
      <c r="J46" s="8"/>
      <c r="K46" s="8"/>
      <c r="L46" s="94"/>
      <c r="M46" s="8"/>
      <c r="N46" s="8"/>
      <c r="O46" s="8"/>
      <c r="P46" s="8"/>
      <c r="Q46" s="8"/>
      <c r="R46" s="8"/>
      <c r="S46" s="8"/>
      <c r="T46" s="8"/>
      <c r="U46" s="8"/>
      <c r="V46" s="8"/>
      <c r="W46" s="8"/>
      <c r="X46" s="8"/>
      <c r="Y46" s="8"/>
      <c r="Z46" s="8"/>
    </row>
    <row r="47" spans="1:26" ht="12.75" customHeight="1" x14ac:dyDescent="0.25">
      <c r="A47" s="133"/>
      <c r="B47" s="8"/>
      <c r="C47" s="8"/>
      <c r="D47" s="8"/>
      <c r="E47" s="8"/>
      <c r="F47" s="8"/>
      <c r="G47" s="8"/>
      <c r="H47" s="8"/>
      <c r="I47" s="8"/>
      <c r="J47" s="8"/>
      <c r="K47" s="8"/>
      <c r="L47" s="94"/>
      <c r="M47" s="8"/>
      <c r="N47" s="8"/>
      <c r="O47" s="8"/>
      <c r="P47" s="8"/>
      <c r="Q47" s="8"/>
      <c r="R47" s="8"/>
      <c r="S47" s="8"/>
      <c r="T47" s="8"/>
      <c r="U47" s="8"/>
      <c r="V47" s="8"/>
      <c r="W47" s="8"/>
      <c r="X47" s="8"/>
      <c r="Y47" s="8"/>
      <c r="Z47" s="8"/>
    </row>
    <row r="48" spans="1:26" ht="12.75" customHeight="1" x14ac:dyDescent="0.25">
      <c r="A48" s="133"/>
      <c r="B48" s="8"/>
      <c r="C48" s="8"/>
      <c r="D48" s="8"/>
      <c r="E48" s="8"/>
      <c r="F48" s="8"/>
      <c r="G48" s="8"/>
      <c r="H48" s="8"/>
      <c r="I48" s="8"/>
      <c r="J48" s="8"/>
      <c r="K48" s="8"/>
      <c r="L48" s="94"/>
      <c r="M48" s="8"/>
      <c r="N48" s="8"/>
      <c r="O48" s="8"/>
      <c r="P48" s="8"/>
      <c r="Q48" s="8"/>
      <c r="R48" s="8"/>
      <c r="S48" s="8"/>
      <c r="T48" s="8"/>
      <c r="U48" s="8"/>
      <c r="V48" s="8"/>
      <c r="W48" s="8"/>
      <c r="X48" s="8"/>
      <c r="Y48" s="8"/>
      <c r="Z48" s="8"/>
    </row>
    <row r="49" spans="1:26" ht="12.75" customHeight="1" x14ac:dyDescent="0.25">
      <c r="A49" s="133"/>
      <c r="B49" s="8"/>
      <c r="C49" s="8"/>
      <c r="D49" s="8"/>
      <c r="E49" s="8"/>
      <c r="F49" s="8"/>
      <c r="G49" s="8"/>
      <c r="H49" s="8"/>
      <c r="I49" s="8"/>
      <c r="J49" s="8"/>
      <c r="K49" s="8"/>
      <c r="L49" s="94"/>
      <c r="M49" s="8"/>
      <c r="N49" s="8"/>
      <c r="O49" s="8"/>
      <c r="P49" s="8"/>
      <c r="Q49" s="8"/>
      <c r="R49" s="8"/>
      <c r="S49" s="8"/>
      <c r="T49" s="8"/>
      <c r="U49" s="8"/>
      <c r="V49" s="8"/>
      <c r="W49" s="8"/>
      <c r="X49" s="8"/>
      <c r="Y49" s="8"/>
      <c r="Z49" s="8"/>
    </row>
    <row r="50" spans="1:26" ht="12.75" customHeight="1" x14ac:dyDescent="0.25">
      <c r="A50" s="133"/>
      <c r="B50" s="8"/>
      <c r="C50" s="8"/>
      <c r="D50" s="8"/>
      <c r="E50" s="8"/>
      <c r="F50" s="8"/>
      <c r="G50" s="8"/>
      <c r="H50" s="8"/>
      <c r="I50" s="8"/>
      <c r="J50" s="8"/>
      <c r="K50" s="8"/>
      <c r="L50" s="94"/>
      <c r="M50" s="8"/>
      <c r="N50" s="8"/>
      <c r="O50" s="8"/>
      <c r="P50" s="8"/>
      <c r="Q50" s="8"/>
      <c r="R50" s="8"/>
      <c r="S50" s="8"/>
      <c r="T50" s="8"/>
      <c r="U50" s="8"/>
      <c r="V50" s="8"/>
      <c r="W50" s="8"/>
      <c r="X50" s="8"/>
      <c r="Y50" s="8"/>
      <c r="Z50" s="8"/>
    </row>
    <row r="51" spans="1:26" ht="12.75" customHeight="1" x14ac:dyDescent="0.25">
      <c r="A51" s="133"/>
      <c r="B51" s="8"/>
      <c r="C51" s="8"/>
      <c r="D51" s="8"/>
      <c r="E51" s="8"/>
      <c r="F51" s="8"/>
      <c r="G51" s="8"/>
      <c r="H51" s="8"/>
      <c r="I51" s="8"/>
      <c r="J51" s="8"/>
      <c r="K51" s="8"/>
      <c r="L51" s="94"/>
      <c r="M51" s="8"/>
      <c r="N51" s="8"/>
      <c r="O51" s="8"/>
      <c r="P51" s="8"/>
      <c r="Q51" s="8"/>
      <c r="R51" s="8"/>
      <c r="S51" s="8"/>
      <c r="T51" s="8"/>
      <c r="U51" s="8"/>
      <c r="V51" s="8"/>
      <c r="W51" s="8"/>
      <c r="X51" s="8"/>
      <c r="Y51" s="8"/>
      <c r="Z51" s="8"/>
    </row>
    <row r="52" spans="1:26" ht="12.75" customHeight="1" x14ac:dyDescent="0.25">
      <c r="A52" s="133"/>
      <c r="B52" s="8"/>
      <c r="C52" s="8"/>
      <c r="D52" s="8"/>
      <c r="E52" s="8"/>
      <c r="F52" s="8"/>
      <c r="G52" s="8"/>
      <c r="H52" s="8"/>
      <c r="I52" s="8"/>
      <c r="J52" s="8"/>
      <c r="K52" s="8"/>
      <c r="L52" s="94"/>
      <c r="M52" s="8"/>
      <c r="N52" s="8"/>
      <c r="O52" s="8"/>
      <c r="P52" s="8"/>
      <c r="Q52" s="8"/>
      <c r="R52" s="8"/>
      <c r="S52" s="8"/>
      <c r="T52" s="8"/>
      <c r="U52" s="8"/>
      <c r="V52" s="8"/>
      <c r="W52" s="8"/>
      <c r="X52" s="8"/>
      <c r="Y52" s="8"/>
      <c r="Z52" s="8"/>
    </row>
    <row r="53" spans="1:26" ht="12.75" customHeight="1" x14ac:dyDescent="0.25">
      <c r="A53" s="133"/>
      <c r="B53" s="8"/>
      <c r="C53" s="8"/>
      <c r="D53" s="8"/>
      <c r="E53" s="8"/>
      <c r="F53" s="8"/>
      <c r="G53" s="8"/>
      <c r="H53" s="8"/>
      <c r="I53" s="8"/>
      <c r="J53" s="8"/>
      <c r="K53" s="8"/>
      <c r="L53" s="94"/>
      <c r="M53" s="8"/>
      <c r="N53" s="8"/>
      <c r="O53" s="8"/>
      <c r="P53" s="8"/>
      <c r="Q53" s="8"/>
      <c r="R53" s="8"/>
      <c r="S53" s="8"/>
      <c r="T53" s="8"/>
      <c r="U53" s="8"/>
      <c r="V53" s="8"/>
      <c r="W53" s="8"/>
      <c r="X53" s="8"/>
      <c r="Y53" s="8"/>
      <c r="Z53" s="8"/>
    </row>
    <row r="54" spans="1:26" ht="12.75" customHeight="1" x14ac:dyDescent="0.25">
      <c r="A54" s="133"/>
      <c r="B54" s="8"/>
      <c r="C54" s="8"/>
      <c r="D54" s="8"/>
      <c r="E54" s="8"/>
      <c r="F54" s="8"/>
      <c r="G54" s="8"/>
      <c r="H54" s="8"/>
      <c r="I54" s="8"/>
      <c r="J54" s="8"/>
      <c r="K54" s="8"/>
      <c r="L54" s="94"/>
      <c r="M54" s="8"/>
      <c r="N54" s="8"/>
      <c r="O54" s="8"/>
      <c r="P54" s="8"/>
      <c r="Q54" s="8"/>
      <c r="R54" s="8"/>
      <c r="S54" s="8"/>
      <c r="T54" s="8"/>
      <c r="U54" s="8"/>
      <c r="V54" s="8"/>
      <c r="W54" s="8"/>
      <c r="X54" s="8"/>
      <c r="Y54" s="8"/>
      <c r="Z54" s="8"/>
    </row>
    <row r="55" spans="1:26" ht="12.75" customHeight="1" x14ac:dyDescent="0.25">
      <c r="A55" s="133"/>
      <c r="B55" s="8"/>
      <c r="C55" s="8"/>
      <c r="D55" s="8"/>
      <c r="E55" s="8"/>
      <c r="F55" s="8"/>
      <c r="G55" s="8"/>
      <c r="H55" s="8"/>
      <c r="I55" s="8"/>
      <c r="J55" s="8"/>
      <c r="K55" s="8"/>
      <c r="L55" s="94"/>
      <c r="M55" s="8"/>
      <c r="N55" s="8"/>
      <c r="O55" s="8"/>
      <c r="P55" s="8"/>
      <c r="Q55" s="8"/>
      <c r="R55" s="8"/>
      <c r="S55" s="8"/>
      <c r="T55" s="8"/>
      <c r="U55" s="8"/>
      <c r="V55" s="8"/>
      <c r="W55" s="8"/>
      <c r="X55" s="8"/>
      <c r="Y55" s="8"/>
      <c r="Z55" s="8"/>
    </row>
    <row r="56" spans="1:26" ht="12.75" customHeight="1" x14ac:dyDescent="0.25">
      <c r="A56" s="133"/>
      <c r="B56" s="8"/>
      <c r="C56" s="8"/>
      <c r="D56" s="8"/>
      <c r="E56" s="8"/>
      <c r="F56" s="8"/>
      <c r="G56" s="8"/>
      <c r="H56" s="8"/>
      <c r="I56" s="8"/>
      <c r="J56" s="8"/>
      <c r="K56" s="8"/>
      <c r="L56" s="94"/>
      <c r="M56" s="8"/>
      <c r="N56" s="8"/>
      <c r="O56" s="8"/>
      <c r="P56" s="8"/>
      <c r="Q56" s="8"/>
      <c r="R56" s="8"/>
      <c r="S56" s="8"/>
      <c r="T56" s="8"/>
      <c r="U56" s="8"/>
      <c r="V56" s="8"/>
      <c r="W56" s="8"/>
      <c r="X56" s="8"/>
      <c r="Y56" s="8"/>
      <c r="Z56" s="8"/>
    </row>
    <row r="57" spans="1:26" ht="12.75" customHeight="1" x14ac:dyDescent="0.25">
      <c r="A57" s="133"/>
      <c r="B57" s="8"/>
      <c r="C57" s="8"/>
      <c r="D57" s="8"/>
      <c r="E57" s="8"/>
      <c r="F57" s="8"/>
      <c r="G57" s="8"/>
      <c r="H57" s="8"/>
      <c r="I57" s="8"/>
      <c r="J57" s="8"/>
      <c r="K57" s="8"/>
      <c r="L57" s="94"/>
      <c r="M57" s="8"/>
      <c r="N57" s="8"/>
      <c r="O57" s="8"/>
      <c r="P57" s="8"/>
      <c r="Q57" s="8"/>
      <c r="R57" s="8"/>
      <c r="S57" s="8"/>
      <c r="T57" s="8"/>
      <c r="U57" s="8"/>
      <c r="V57" s="8"/>
      <c r="W57" s="8"/>
      <c r="X57" s="8"/>
      <c r="Y57" s="8"/>
      <c r="Z57" s="8"/>
    </row>
    <row r="58" spans="1:26" ht="12.75" customHeight="1" x14ac:dyDescent="0.25">
      <c r="A58" s="133"/>
      <c r="B58" s="8"/>
      <c r="C58" s="8"/>
      <c r="D58" s="8"/>
      <c r="E58" s="8"/>
      <c r="F58" s="8"/>
      <c r="G58" s="8"/>
      <c r="H58" s="8"/>
      <c r="I58" s="8"/>
      <c r="J58" s="8"/>
      <c r="K58" s="8"/>
      <c r="L58" s="94"/>
      <c r="M58" s="8"/>
      <c r="N58" s="8"/>
      <c r="O58" s="8"/>
      <c r="P58" s="8"/>
      <c r="Q58" s="8"/>
      <c r="R58" s="8"/>
      <c r="S58" s="8"/>
      <c r="T58" s="8"/>
      <c r="U58" s="8"/>
      <c r="V58" s="8"/>
      <c r="W58" s="8"/>
      <c r="X58" s="8"/>
      <c r="Y58" s="8"/>
      <c r="Z58" s="8"/>
    </row>
    <row r="59" spans="1:26" ht="12.75" customHeight="1" x14ac:dyDescent="0.25">
      <c r="A59" s="133"/>
      <c r="B59" s="8"/>
      <c r="C59" s="8"/>
      <c r="D59" s="8"/>
      <c r="E59" s="8"/>
      <c r="F59" s="8"/>
      <c r="G59" s="8"/>
      <c r="H59" s="8"/>
      <c r="I59" s="8"/>
      <c r="J59" s="8"/>
      <c r="K59" s="8"/>
      <c r="L59" s="94"/>
      <c r="M59" s="8"/>
      <c r="N59" s="8"/>
      <c r="O59" s="8"/>
      <c r="P59" s="8"/>
      <c r="Q59" s="8"/>
      <c r="R59" s="8"/>
      <c r="S59" s="8"/>
      <c r="T59" s="8"/>
      <c r="U59" s="8"/>
      <c r="V59" s="8"/>
      <c r="W59" s="8"/>
      <c r="X59" s="8"/>
      <c r="Y59" s="8"/>
      <c r="Z59" s="8"/>
    </row>
    <row r="60" spans="1:26" ht="12.75" customHeight="1" x14ac:dyDescent="0.25">
      <c r="A60" s="133"/>
      <c r="B60" s="8"/>
      <c r="C60" s="8"/>
      <c r="D60" s="8"/>
      <c r="E60" s="8"/>
      <c r="F60" s="8"/>
      <c r="G60" s="8"/>
      <c r="H60" s="8"/>
      <c r="I60" s="8"/>
      <c r="J60" s="8"/>
      <c r="K60" s="8"/>
      <c r="L60" s="94"/>
      <c r="M60" s="8"/>
      <c r="N60" s="8"/>
      <c r="O60" s="8"/>
      <c r="P60" s="8"/>
      <c r="Q60" s="8"/>
      <c r="R60" s="8"/>
      <c r="S60" s="8"/>
      <c r="T60" s="8"/>
      <c r="U60" s="8"/>
      <c r="V60" s="8"/>
      <c r="W60" s="8"/>
      <c r="X60" s="8"/>
      <c r="Y60" s="8"/>
      <c r="Z60" s="8"/>
    </row>
    <row r="61" spans="1:26" ht="12.75" customHeight="1" x14ac:dyDescent="0.25">
      <c r="A61" s="133"/>
      <c r="B61" s="8"/>
      <c r="C61" s="8"/>
      <c r="D61" s="8"/>
      <c r="E61" s="8"/>
      <c r="F61" s="8"/>
      <c r="G61" s="8"/>
      <c r="H61" s="8"/>
      <c r="I61" s="8"/>
      <c r="J61" s="8"/>
      <c r="K61" s="8"/>
      <c r="L61" s="94"/>
      <c r="M61" s="8"/>
      <c r="N61" s="8"/>
      <c r="O61" s="8"/>
      <c r="P61" s="8"/>
      <c r="Q61" s="8"/>
      <c r="R61" s="8"/>
      <c r="S61" s="8"/>
      <c r="T61" s="8"/>
      <c r="U61" s="8"/>
      <c r="V61" s="8"/>
      <c r="W61" s="8"/>
      <c r="X61" s="8"/>
      <c r="Y61" s="8"/>
      <c r="Z61" s="8"/>
    </row>
    <row r="62" spans="1:26" ht="12.75" customHeight="1" x14ac:dyDescent="0.25">
      <c r="A62" s="133"/>
      <c r="B62" s="8"/>
      <c r="C62" s="8"/>
      <c r="D62" s="8"/>
      <c r="E62" s="8"/>
      <c r="F62" s="8"/>
      <c r="G62" s="8"/>
      <c r="H62" s="8"/>
      <c r="I62" s="8"/>
      <c r="J62" s="8"/>
      <c r="K62" s="8"/>
      <c r="L62" s="94"/>
      <c r="M62" s="8"/>
      <c r="N62" s="8"/>
      <c r="O62" s="8"/>
      <c r="P62" s="8"/>
      <c r="Q62" s="8"/>
      <c r="R62" s="8"/>
      <c r="S62" s="8"/>
      <c r="T62" s="8"/>
      <c r="U62" s="8"/>
      <c r="V62" s="8"/>
      <c r="W62" s="8"/>
      <c r="X62" s="8"/>
      <c r="Y62" s="8"/>
      <c r="Z62" s="8"/>
    </row>
    <row r="63" spans="1:26" ht="12.75" customHeight="1" x14ac:dyDescent="0.25">
      <c r="A63" s="133"/>
      <c r="B63" s="8"/>
      <c r="C63" s="8"/>
      <c r="D63" s="8"/>
      <c r="E63" s="8"/>
      <c r="F63" s="8"/>
      <c r="G63" s="8"/>
      <c r="H63" s="8"/>
      <c r="I63" s="8"/>
      <c r="J63" s="8"/>
      <c r="K63" s="8"/>
      <c r="L63" s="94"/>
      <c r="M63" s="8"/>
      <c r="N63" s="8"/>
      <c r="O63" s="8"/>
      <c r="P63" s="8"/>
      <c r="Q63" s="8"/>
      <c r="R63" s="8"/>
      <c r="S63" s="8"/>
      <c r="T63" s="8"/>
      <c r="U63" s="8"/>
      <c r="V63" s="8"/>
      <c r="W63" s="8"/>
      <c r="X63" s="8"/>
      <c r="Y63" s="8"/>
      <c r="Z63" s="8"/>
    </row>
    <row r="64" spans="1:26" ht="12.75" customHeight="1" x14ac:dyDescent="0.25">
      <c r="A64" s="133"/>
      <c r="B64" s="8"/>
      <c r="C64" s="8"/>
      <c r="D64" s="8"/>
      <c r="E64" s="8"/>
      <c r="F64" s="8"/>
      <c r="G64" s="8"/>
      <c r="H64" s="8"/>
      <c r="I64" s="8"/>
      <c r="J64" s="8"/>
      <c r="K64" s="8"/>
      <c r="L64" s="94"/>
      <c r="M64" s="8"/>
      <c r="N64" s="8"/>
      <c r="O64" s="8"/>
      <c r="P64" s="8"/>
      <c r="Q64" s="8"/>
      <c r="R64" s="8"/>
      <c r="S64" s="8"/>
      <c r="T64" s="8"/>
      <c r="U64" s="8"/>
      <c r="V64" s="8"/>
      <c r="W64" s="8"/>
      <c r="X64" s="8"/>
      <c r="Y64" s="8"/>
      <c r="Z64" s="8"/>
    </row>
    <row r="65" spans="1:26" ht="12.75" customHeight="1" x14ac:dyDescent="0.25">
      <c r="A65" s="133"/>
      <c r="B65" s="8"/>
      <c r="C65" s="8"/>
      <c r="D65" s="8"/>
      <c r="E65" s="8"/>
      <c r="F65" s="8"/>
      <c r="G65" s="8"/>
      <c r="H65" s="8"/>
      <c r="I65" s="8"/>
      <c r="J65" s="8"/>
      <c r="K65" s="8"/>
      <c r="L65" s="94"/>
      <c r="M65" s="8"/>
      <c r="N65" s="8"/>
      <c r="O65" s="8"/>
      <c r="P65" s="8"/>
      <c r="Q65" s="8"/>
      <c r="R65" s="8"/>
      <c r="S65" s="8"/>
      <c r="T65" s="8"/>
      <c r="U65" s="8"/>
      <c r="V65" s="8"/>
      <c r="W65" s="8"/>
      <c r="X65" s="8"/>
      <c r="Y65" s="8"/>
      <c r="Z65" s="8"/>
    </row>
    <row r="66" spans="1:26" ht="12.75" customHeight="1" x14ac:dyDescent="0.25">
      <c r="A66" s="133"/>
      <c r="B66" s="8"/>
      <c r="C66" s="8"/>
      <c r="D66" s="8"/>
      <c r="E66" s="8"/>
      <c r="F66" s="8"/>
      <c r="G66" s="8"/>
      <c r="H66" s="8"/>
      <c r="I66" s="8"/>
      <c r="J66" s="8"/>
      <c r="K66" s="8"/>
      <c r="L66" s="94"/>
      <c r="M66" s="8"/>
      <c r="N66" s="8"/>
      <c r="O66" s="8"/>
      <c r="P66" s="8"/>
      <c r="Q66" s="8"/>
      <c r="R66" s="8"/>
      <c r="S66" s="8"/>
      <c r="T66" s="8"/>
      <c r="U66" s="8"/>
      <c r="V66" s="8"/>
      <c r="W66" s="8"/>
      <c r="X66" s="8"/>
      <c r="Y66" s="8"/>
      <c r="Z66" s="8"/>
    </row>
    <row r="67" spans="1:26" ht="12.75" customHeight="1" x14ac:dyDescent="0.25">
      <c r="A67" s="133"/>
      <c r="B67" s="8"/>
      <c r="C67" s="8"/>
      <c r="D67" s="8"/>
      <c r="E67" s="8"/>
      <c r="F67" s="8"/>
      <c r="G67" s="8"/>
      <c r="H67" s="8"/>
      <c r="I67" s="8"/>
      <c r="J67" s="8"/>
      <c r="K67" s="8"/>
      <c r="L67" s="94"/>
      <c r="M67" s="8"/>
      <c r="N67" s="8"/>
      <c r="O67" s="8"/>
      <c r="P67" s="8"/>
      <c r="Q67" s="8"/>
      <c r="R67" s="8"/>
      <c r="S67" s="8"/>
      <c r="T67" s="8"/>
      <c r="U67" s="8"/>
      <c r="V67" s="8"/>
      <c r="W67" s="8"/>
      <c r="X67" s="8"/>
      <c r="Y67" s="8"/>
      <c r="Z67" s="8"/>
    </row>
    <row r="68" spans="1:26" ht="12.75" customHeight="1" x14ac:dyDescent="0.25">
      <c r="A68" s="133"/>
      <c r="B68" s="8"/>
      <c r="C68" s="8"/>
      <c r="D68" s="8"/>
      <c r="E68" s="8"/>
      <c r="F68" s="8"/>
      <c r="G68" s="8"/>
      <c r="H68" s="8"/>
      <c r="I68" s="8"/>
      <c r="J68" s="8"/>
      <c r="K68" s="8"/>
      <c r="L68" s="94"/>
      <c r="M68" s="8"/>
      <c r="N68" s="8"/>
      <c r="O68" s="8"/>
      <c r="P68" s="8"/>
      <c r="Q68" s="8"/>
      <c r="R68" s="8"/>
      <c r="S68" s="8"/>
      <c r="T68" s="8"/>
      <c r="U68" s="8"/>
      <c r="V68" s="8"/>
      <c r="W68" s="8"/>
      <c r="X68" s="8"/>
      <c r="Y68" s="8"/>
      <c r="Z68" s="8"/>
    </row>
    <row r="69" spans="1:26" ht="12.75" customHeight="1" x14ac:dyDescent="0.25">
      <c r="A69" s="133"/>
      <c r="B69" s="8"/>
      <c r="C69" s="8"/>
      <c r="D69" s="8"/>
      <c r="E69" s="8"/>
      <c r="F69" s="8"/>
      <c r="G69" s="8"/>
      <c r="H69" s="8"/>
      <c r="I69" s="8"/>
      <c r="J69" s="8"/>
      <c r="K69" s="8"/>
      <c r="L69" s="94"/>
      <c r="M69" s="8"/>
      <c r="N69" s="8"/>
      <c r="O69" s="8"/>
      <c r="P69" s="8"/>
      <c r="Q69" s="8"/>
      <c r="R69" s="8"/>
      <c r="S69" s="8"/>
      <c r="T69" s="8"/>
      <c r="U69" s="8"/>
      <c r="V69" s="8"/>
      <c r="W69" s="8"/>
      <c r="X69" s="8"/>
      <c r="Y69" s="8"/>
      <c r="Z69" s="8"/>
    </row>
    <row r="70" spans="1:26" ht="12.75" customHeight="1" x14ac:dyDescent="0.25">
      <c r="A70" s="133"/>
      <c r="B70" s="8"/>
      <c r="C70" s="8"/>
      <c r="D70" s="8"/>
      <c r="E70" s="8"/>
      <c r="F70" s="8"/>
      <c r="G70" s="8"/>
      <c r="H70" s="8"/>
      <c r="I70" s="8"/>
      <c r="J70" s="8"/>
      <c r="K70" s="8"/>
      <c r="L70" s="94"/>
      <c r="M70" s="8"/>
      <c r="N70" s="8"/>
      <c r="O70" s="8"/>
      <c r="P70" s="8"/>
      <c r="Q70" s="8"/>
      <c r="R70" s="8"/>
      <c r="S70" s="8"/>
      <c r="T70" s="8"/>
      <c r="U70" s="8"/>
      <c r="V70" s="8"/>
      <c r="W70" s="8"/>
      <c r="X70" s="8"/>
      <c r="Y70" s="8"/>
      <c r="Z70" s="8"/>
    </row>
    <row r="71" spans="1:26" ht="12.75" customHeight="1" x14ac:dyDescent="0.25">
      <c r="A71" s="133"/>
      <c r="B71" s="8"/>
      <c r="C71" s="8"/>
      <c r="D71" s="8"/>
      <c r="E71" s="8"/>
      <c r="F71" s="8"/>
      <c r="G71" s="8"/>
      <c r="H71" s="8"/>
      <c r="I71" s="8"/>
      <c r="J71" s="8"/>
      <c r="K71" s="8"/>
      <c r="L71" s="94"/>
      <c r="M71" s="8"/>
      <c r="N71" s="8"/>
      <c r="O71" s="8"/>
      <c r="P71" s="8"/>
      <c r="Q71" s="8"/>
      <c r="R71" s="8"/>
      <c r="S71" s="8"/>
      <c r="T71" s="8"/>
      <c r="U71" s="8"/>
      <c r="V71" s="8"/>
      <c r="W71" s="8"/>
      <c r="X71" s="8"/>
      <c r="Y71" s="8"/>
      <c r="Z71" s="8"/>
    </row>
    <row r="72" spans="1:26" ht="12.75" customHeight="1" x14ac:dyDescent="0.25">
      <c r="A72" s="133"/>
      <c r="B72" s="8"/>
      <c r="C72" s="8"/>
      <c r="D72" s="8"/>
      <c r="E72" s="8"/>
      <c r="F72" s="8"/>
      <c r="G72" s="8"/>
      <c r="H72" s="8"/>
      <c r="I72" s="8"/>
      <c r="J72" s="8"/>
      <c r="K72" s="8"/>
      <c r="L72" s="94"/>
      <c r="M72" s="8"/>
      <c r="N72" s="8"/>
      <c r="O72" s="8"/>
      <c r="P72" s="8"/>
      <c r="Q72" s="8"/>
      <c r="R72" s="8"/>
      <c r="S72" s="8"/>
      <c r="T72" s="8"/>
      <c r="U72" s="8"/>
      <c r="V72" s="8"/>
      <c r="W72" s="8"/>
      <c r="X72" s="8"/>
      <c r="Y72" s="8"/>
      <c r="Z72" s="8"/>
    </row>
    <row r="73" spans="1:26" ht="12.75" customHeight="1" x14ac:dyDescent="0.25">
      <c r="A73" s="133"/>
      <c r="B73" s="8"/>
      <c r="C73" s="8"/>
      <c r="D73" s="8"/>
      <c r="E73" s="8"/>
      <c r="F73" s="8"/>
      <c r="G73" s="8"/>
      <c r="H73" s="8"/>
      <c r="I73" s="8"/>
      <c r="J73" s="8"/>
      <c r="K73" s="8"/>
      <c r="L73" s="94"/>
      <c r="M73" s="8"/>
      <c r="N73" s="8"/>
      <c r="O73" s="8"/>
      <c r="P73" s="8"/>
      <c r="Q73" s="8"/>
      <c r="R73" s="8"/>
      <c r="S73" s="8"/>
      <c r="T73" s="8"/>
      <c r="U73" s="8"/>
      <c r="V73" s="8"/>
      <c r="W73" s="8"/>
      <c r="X73" s="8"/>
      <c r="Y73" s="8"/>
      <c r="Z73" s="8"/>
    </row>
    <row r="74" spans="1:26" ht="12.75" customHeight="1" x14ac:dyDescent="0.25">
      <c r="A74" s="133"/>
      <c r="B74" s="8"/>
      <c r="C74" s="8"/>
      <c r="D74" s="8"/>
      <c r="E74" s="8"/>
      <c r="F74" s="8"/>
      <c r="G74" s="8"/>
      <c r="H74" s="8"/>
      <c r="I74" s="8"/>
      <c r="J74" s="8"/>
      <c r="K74" s="8"/>
      <c r="L74" s="94"/>
      <c r="M74" s="8"/>
      <c r="N74" s="8"/>
      <c r="O74" s="8"/>
      <c r="P74" s="8"/>
      <c r="Q74" s="8"/>
      <c r="R74" s="8"/>
      <c r="S74" s="8"/>
      <c r="T74" s="8"/>
      <c r="U74" s="8"/>
      <c r="V74" s="8"/>
      <c r="W74" s="8"/>
      <c r="X74" s="8"/>
      <c r="Y74" s="8"/>
      <c r="Z74" s="8"/>
    </row>
    <row r="75" spans="1:26" ht="12.75" customHeight="1" x14ac:dyDescent="0.25">
      <c r="A75" s="133"/>
      <c r="B75" s="8"/>
      <c r="C75" s="8"/>
      <c r="D75" s="8"/>
      <c r="E75" s="8"/>
      <c r="F75" s="8"/>
      <c r="G75" s="8"/>
      <c r="H75" s="8"/>
      <c r="I75" s="8"/>
      <c r="J75" s="8"/>
      <c r="K75" s="8"/>
      <c r="L75" s="94"/>
      <c r="M75" s="8"/>
      <c r="N75" s="8"/>
      <c r="O75" s="8"/>
      <c r="P75" s="8"/>
      <c r="Q75" s="8"/>
      <c r="R75" s="8"/>
      <c r="S75" s="8"/>
      <c r="T75" s="8"/>
      <c r="U75" s="8"/>
      <c r="V75" s="8"/>
      <c r="W75" s="8"/>
      <c r="X75" s="8"/>
      <c r="Y75" s="8"/>
      <c r="Z75" s="8"/>
    </row>
    <row r="76" spans="1:26" ht="12.75" customHeight="1" x14ac:dyDescent="0.25">
      <c r="A76" s="133"/>
      <c r="B76" s="8"/>
      <c r="C76" s="8"/>
      <c r="D76" s="8"/>
      <c r="E76" s="8"/>
      <c r="F76" s="8"/>
      <c r="G76" s="8"/>
      <c r="H76" s="8"/>
      <c r="I76" s="8"/>
      <c r="J76" s="8"/>
      <c r="K76" s="8"/>
      <c r="L76" s="94"/>
      <c r="M76" s="8"/>
      <c r="N76" s="8"/>
      <c r="O76" s="8"/>
      <c r="P76" s="8"/>
      <c r="Q76" s="8"/>
      <c r="R76" s="8"/>
      <c r="S76" s="8"/>
      <c r="T76" s="8"/>
      <c r="U76" s="8"/>
      <c r="V76" s="8"/>
      <c r="W76" s="8"/>
      <c r="X76" s="8"/>
      <c r="Y76" s="8"/>
      <c r="Z76" s="8"/>
    </row>
    <row r="77" spans="1:26" ht="12.75" customHeight="1" x14ac:dyDescent="0.25">
      <c r="A77" s="133"/>
      <c r="B77" s="8"/>
      <c r="C77" s="8"/>
      <c r="D77" s="8"/>
      <c r="E77" s="8"/>
      <c r="F77" s="8"/>
      <c r="G77" s="8"/>
      <c r="H77" s="8"/>
      <c r="I77" s="8"/>
      <c r="J77" s="8"/>
      <c r="K77" s="8"/>
      <c r="L77" s="94"/>
      <c r="M77" s="8"/>
      <c r="N77" s="8"/>
      <c r="O77" s="8"/>
      <c r="P77" s="8"/>
      <c r="Q77" s="8"/>
      <c r="R77" s="8"/>
      <c r="S77" s="8"/>
      <c r="T77" s="8"/>
      <c r="U77" s="8"/>
      <c r="V77" s="8"/>
      <c r="W77" s="8"/>
      <c r="X77" s="8"/>
      <c r="Y77" s="8"/>
      <c r="Z77" s="8"/>
    </row>
    <row r="78" spans="1:26" ht="12.75" customHeight="1" x14ac:dyDescent="0.25">
      <c r="A78" s="133"/>
      <c r="B78" s="8"/>
      <c r="C78" s="8"/>
      <c r="D78" s="8"/>
      <c r="E78" s="8"/>
      <c r="F78" s="8"/>
      <c r="G78" s="8"/>
      <c r="H78" s="8"/>
      <c r="I78" s="8"/>
      <c r="J78" s="8"/>
      <c r="K78" s="8"/>
      <c r="L78" s="94"/>
      <c r="M78" s="8"/>
      <c r="N78" s="8"/>
      <c r="O78" s="8"/>
      <c r="P78" s="8"/>
      <c r="Q78" s="8"/>
      <c r="R78" s="8"/>
      <c r="S78" s="8"/>
      <c r="T78" s="8"/>
      <c r="U78" s="8"/>
      <c r="V78" s="8"/>
      <c r="W78" s="8"/>
      <c r="X78" s="8"/>
      <c r="Y78" s="8"/>
      <c r="Z78" s="8"/>
    </row>
    <row r="79" spans="1:26" ht="12.75" customHeight="1" x14ac:dyDescent="0.25">
      <c r="A79" s="133"/>
      <c r="B79" s="8"/>
      <c r="C79" s="8"/>
      <c r="D79" s="8"/>
      <c r="E79" s="8"/>
      <c r="F79" s="8"/>
      <c r="G79" s="8"/>
      <c r="H79" s="8"/>
      <c r="I79" s="8"/>
      <c r="J79" s="8"/>
      <c r="K79" s="8"/>
      <c r="L79" s="94"/>
      <c r="M79" s="8"/>
      <c r="N79" s="8"/>
      <c r="O79" s="8"/>
      <c r="P79" s="8"/>
      <c r="Q79" s="8"/>
      <c r="R79" s="8"/>
      <c r="S79" s="8"/>
      <c r="T79" s="8"/>
      <c r="U79" s="8"/>
      <c r="V79" s="8"/>
      <c r="W79" s="8"/>
      <c r="X79" s="8"/>
      <c r="Y79" s="8"/>
      <c r="Z79" s="8"/>
    </row>
    <row r="80" spans="1:26" ht="12.75" customHeight="1" x14ac:dyDescent="0.25">
      <c r="A80" s="133"/>
      <c r="B80" s="8"/>
      <c r="C80" s="8"/>
      <c r="D80" s="8"/>
      <c r="E80" s="8"/>
      <c r="F80" s="8"/>
      <c r="G80" s="8"/>
      <c r="H80" s="8"/>
      <c r="I80" s="8"/>
      <c r="J80" s="8"/>
      <c r="K80" s="8"/>
      <c r="L80" s="94"/>
      <c r="M80" s="8"/>
      <c r="N80" s="8"/>
      <c r="O80" s="8"/>
      <c r="P80" s="8"/>
      <c r="Q80" s="8"/>
      <c r="R80" s="8"/>
      <c r="S80" s="8"/>
      <c r="T80" s="8"/>
      <c r="U80" s="8"/>
      <c r="V80" s="8"/>
      <c r="W80" s="8"/>
      <c r="X80" s="8"/>
      <c r="Y80" s="8"/>
      <c r="Z80" s="8"/>
    </row>
    <row r="81" spans="1:26" ht="12.75" customHeight="1" x14ac:dyDescent="0.25">
      <c r="A81" s="133"/>
      <c r="B81" s="8"/>
      <c r="C81" s="8"/>
      <c r="D81" s="8"/>
      <c r="E81" s="8"/>
      <c r="F81" s="8"/>
      <c r="G81" s="8"/>
      <c r="H81" s="8"/>
      <c r="I81" s="8"/>
      <c r="J81" s="8"/>
      <c r="K81" s="8"/>
      <c r="L81" s="94"/>
      <c r="M81" s="8"/>
      <c r="N81" s="8"/>
      <c r="O81" s="8"/>
      <c r="P81" s="8"/>
      <c r="Q81" s="8"/>
      <c r="R81" s="8"/>
      <c r="S81" s="8"/>
      <c r="T81" s="8"/>
      <c r="U81" s="8"/>
      <c r="V81" s="8"/>
      <c r="W81" s="8"/>
      <c r="X81" s="8"/>
      <c r="Y81" s="8"/>
      <c r="Z81" s="8"/>
    </row>
    <row r="82" spans="1:26" ht="12.75" customHeight="1" x14ac:dyDescent="0.25">
      <c r="A82" s="133"/>
      <c r="B82" s="8"/>
      <c r="C82" s="8"/>
      <c r="D82" s="8"/>
      <c r="E82" s="8"/>
      <c r="F82" s="8"/>
      <c r="G82" s="8"/>
      <c r="H82" s="8"/>
      <c r="I82" s="8"/>
      <c r="J82" s="8"/>
      <c r="K82" s="8"/>
      <c r="L82" s="94"/>
      <c r="M82" s="8"/>
      <c r="N82" s="8"/>
      <c r="O82" s="8"/>
      <c r="P82" s="8"/>
      <c r="Q82" s="8"/>
      <c r="R82" s="8"/>
      <c r="S82" s="8"/>
      <c r="T82" s="8"/>
      <c r="U82" s="8"/>
      <c r="V82" s="8"/>
      <c r="W82" s="8"/>
      <c r="X82" s="8"/>
      <c r="Y82" s="8"/>
      <c r="Z82" s="8"/>
    </row>
    <row r="83" spans="1:26" ht="12.75" customHeight="1" x14ac:dyDescent="0.25">
      <c r="A83" s="133"/>
      <c r="B83" s="8"/>
      <c r="C83" s="8"/>
      <c r="D83" s="8"/>
      <c r="E83" s="8"/>
      <c r="F83" s="8"/>
      <c r="G83" s="8"/>
      <c r="H83" s="8"/>
      <c r="I83" s="8"/>
      <c r="J83" s="8"/>
      <c r="K83" s="8"/>
      <c r="L83" s="94"/>
      <c r="M83" s="8"/>
      <c r="N83" s="8"/>
      <c r="O83" s="8"/>
      <c r="P83" s="8"/>
      <c r="Q83" s="8"/>
      <c r="R83" s="8"/>
      <c r="S83" s="8"/>
      <c r="T83" s="8"/>
      <c r="U83" s="8"/>
      <c r="V83" s="8"/>
      <c r="W83" s="8"/>
      <c r="X83" s="8"/>
      <c r="Y83" s="8"/>
      <c r="Z83" s="8"/>
    </row>
    <row r="84" spans="1:26" ht="12.75" customHeight="1" x14ac:dyDescent="0.25">
      <c r="A84" s="133"/>
      <c r="B84" s="8"/>
      <c r="C84" s="8"/>
      <c r="D84" s="8"/>
      <c r="E84" s="8"/>
      <c r="F84" s="8"/>
      <c r="G84" s="8"/>
      <c r="H84" s="8"/>
      <c r="I84" s="8"/>
      <c r="J84" s="8"/>
      <c r="K84" s="8"/>
      <c r="L84" s="94"/>
      <c r="M84" s="8"/>
      <c r="N84" s="8"/>
      <c r="O84" s="8"/>
      <c r="P84" s="8"/>
      <c r="Q84" s="8"/>
      <c r="R84" s="8"/>
      <c r="S84" s="8"/>
      <c r="T84" s="8"/>
      <c r="U84" s="8"/>
      <c r="V84" s="8"/>
      <c r="W84" s="8"/>
      <c r="X84" s="8"/>
      <c r="Y84" s="8"/>
      <c r="Z84" s="8"/>
    </row>
    <row r="85" spans="1:26" ht="12.75" customHeight="1" x14ac:dyDescent="0.25">
      <c r="A85" s="133"/>
      <c r="B85" s="8"/>
      <c r="C85" s="8"/>
      <c r="D85" s="8"/>
      <c r="E85" s="8"/>
      <c r="F85" s="8"/>
      <c r="G85" s="8"/>
      <c r="H85" s="8"/>
      <c r="I85" s="8"/>
      <c r="J85" s="8"/>
      <c r="K85" s="8"/>
      <c r="L85" s="94"/>
      <c r="M85" s="8"/>
      <c r="N85" s="8"/>
      <c r="O85" s="8"/>
      <c r="P85" s="8"/>
      <c r="Q85" s="8"/>
      <c r="R85" s="8"/>
      <c r="S85" s="8"/>
      <c r="T85" s="8"/>
      <c r="U85" s="8"/>
      <c r="V85" s="8"/>
      <c r="W85" s="8"/>
      <c r="X85" s="8"/>
      <c r="Y85" s="8"/>
      <c r="Z85" s="8"/>
    </row>
    <row r="86" spans="1:26" ht="12.75" customHeight="1" x14ac:dyDescent="0.25">
      <c r="A86" s="133"/>
      <c r="B86" s="8"/>
      <c r="C86" s="8"/>
      <c r="D86" s="8"/>
      <c r="E86" s="8"/>
      <c r="F86" s="8"/>
      <c r="G86" s="8"/>
      <c r="H86" s="8"/>
      <c r="I86" s="8"/>
      <c r="J86" s="8"/>
      <c r="K86" s="8"/>
      <c r="L86" s="94"/>
      <c r="M86" s="8"/>
      <c r="N86" s="8"/>
      <c r="O86" s="8"/>
      <c r="P86" s="8"/>
      <c r="Q86" s="8"/>
      <c r="R86" s="8"/>
      <c r="S86" s="8"/>
      <c r="T86" s="8"/>
      <c r="U86" s="8"/>
      <c r="V86" s="8"/>
      <c r="W86" s="8"/>
      <c r="X86" s="8"/>
      <c r="Y86" s="8"/>
      <c r="Z86" s="8"/>
    </row>
    <row r="87" spans="1:26" ht="12.75" customHeight="1" x14ac:dyDescent="0.25">
      <c r="A87" s="133"/>
      <c r="B87" s="8"/>
      <c r="C87" s="8"/>
      <c r="D87" s="8"/>
      <c r="E87" s="8"/>
      <c r="F87" s="8"/>
      <c r="G87" s="8"/>
      <c r="H87" s="8"/>
      <c r="I87" s="8"/>
      <c r="J87" s="8"/>
      <c r="K87" s="8"/>
      <c r="L87" s="94"/>
      <c r="M87" s="8"/>
      <c r="N87" s="8"/>
      <c r="O87" s="8"/>
      <c r="P87" s="8"/>
      <c r="Q87" s="8"/>
      <c r="R87" s="8"/>
      <c r="S87" s="8"/>
      <c r="T87" s="8"/>
      <c r="U87" s="8"/>
      <c r="V87" s="8"/>
      <c r="W87" s="8"/>
      <c r="X87" s="8"/>
      <c r="Y87" s="8"/>
      <c r="Z87" s="8"/>
    </row>
    <row r="88" spans="1:26" ht="12.75" customHeight="1" x14ac:dyDescent="0.25">
      <c r="A88" s="133"/>
      <c r="B88" s="8"/>
      <c r="C88" s="8"/>
      <c r="D88" s="8"/>
      <c r="E88" s="8"/>
      <c r="F88" s="8"/>
      <c r="G88" s="8"/>
      <c r="H88" s="8"/>
      <c r="I88" s="8"/>
      <c r="J88" s="8"/>
      <c r="K88" s="8"/>
      <c r="L88" s="94"/>
      <c r="M88" s="8"/>
      <c r="N88" s="8"/>
      <c r="O88" s="8"/>
      <c r="P88" s="8"/>
      <c r="Q88" s="8"/>
      <c r="R88" s="8"/>
      <c r="S88" s="8"/>
      <c r="T88" s="8"/>
      <c r="U88" s="8"/>
      <c r="V88" s="8"/>
      <c r="W88" s="8"/>
      <c r="X88" s="8"/>
      <c r="Y88" s="8"/>
      <c r="Z88" s="8"/>
    </row>
    <row r="89" spans="1:26" ht="12.75" customHeight="1" x14ac:dyDescent="0.25">
      <c r="A89" s="133"/>
      <c r="B89" s="8"/>
      <c r="C89" s="8"/>
      <c r="D89" s="8"/>
      <c r="E89" s="8"/>
      <c r="F89" s="8"/>
      <c r="G89" s="8"/>
      <c r="H89" s="8"/>
      <c r="I89" s="8"/>
      <c r="J89" s="8"/>
      <c r="K89" s="8"/>
      <c r="L89" s="94"/>
      <c r="M89" s="8"/>
      <c r="N89" s="8"/>
      <c r="O89" s="8"/>
      <c r="P89" s="8"/>
      <c r="Q89" s="8"/>
      <c r="R89" s="8"/>
      <c r="S89" s="8"/>
      <c r="T89" s="8"/>
      <c r="U89" s="8"/>
      <c r="V89" s="8"/>
      <c r="W89" s="8"/>
      <c r="X89" s="8"/>
      <c r="Y89" s="8"/>
      <c r="Z89" s="8"/>
    </row>
    <row r="90" spans="1:26" ht="12.75" customHeight="1" x14ac:dyDescent="0.25">
      <c r="A90" s="133"/>
      <c r="B90" s="8"/>
      <c r="C90" s="8"/>
      <c r="D90" s="8"/>
      <c r="E90" s="8"/>
      <c r="F90" s="8"/>
      <c r="G90" s="8"/>
      <c r="H90" s="8"/>
      <c r="I90" s="8"/>
      <c r="J90" s="8"/>
      <c r="K90" s="8"/>
      <c r="L90" s="94"/>
      <c r="M90" s="8"/>
      <c r="N90" s="8"/>
      <c r="O90" s="8"/>
      <c r="P90" s="8"/>
      <c r="Q90" s="8"/>
      <c r="R90" s="8"/>
      <c r="S90" s="8"/>
      <c r="T90" s="8"/>
      <c r="U90" s="8"/>
      <c r="V90" s="8"/>
      <c r="W90" s="8"/>
      <c r="X90" s="8"/>
      <c r="Y90" s="8"/>
      <c r="Z90" s="8"/>
    </row>
    <row r="91" spans="1:26" ht="12.75" customHeight="1" x14ac:dyDescent="0.25">
      <c r="A91" s="133"/>
      <c r="B91" s="8"/>
      <c r="C91" s="8"/>
      <c r="D91" s="8"/>
      <c r="E91" s="8"/>
      <c r="F91" s="8"/>
      <c r="G91" s="8"/>
      <c r="H91" s="8"/>
      <c r="I91" s="8"/>
      <c r="J91" s="8"/>
      <c r="K91" s="8"/>
      <c r="L91" s="94"/>
      <c r="M91" s="8"/>
      <c r="N91" s="8"/>
      <c r="O91" s="8"/>
      <c r="P91" s="8"/>
      <c r="Q91" s="8"/>
      <c r="R91" s="8"/>
      <c r="S91" s="8"/>
      <c r="T91" s="8"/>
      <c r="U91" s="8"/>
      <c r="V91" s="8"/>
      <c r="W91" s="8"/>
      <c r="X91" s="8"/>
      <c r="Y91" s="8"/>
      <c r="Z91" s="8"/>
    </row>
    <row r="92" spans="1:26" ht="12.75" customHeight="1" x14ac:dyDescent="0.25">
      <c r="A92" s="133"/>
      <c r="B92" s="8"/>
      <c r="C92" s="8"/>
      <c r="D92" s="8"/>
      <c r="E92" s="8"/>
      <c r="F92" s="8"/>
      <c r="G92" s="8"/>
      <c r="H92" s="8"/>
      <c r="I92" s="8"/>
      <c r="J92" s="8"/>
      <c r="K92" s="8"/>
      <c r="L92" s="94"/>
      <c r="M92" s="8"/>
      <c r="N92" s="8"/>
      <c r="O92" s="8"/>
      <c r="P92" s="8"/>
      <c r="Q92" s="8"/>
      <c r="R92" s="8"/>
      <c r="S92" s="8"/>
      <c r="T92" s="8"/>
      <c r="U92" s="8"/>
      <c r="V92" s="8"/>
      <c r="W92" s="8"/>
      <c r="X92" s="8"/>
      <c r="Y92" s="8"/>
      <c r="Z92" s="8"/>
    </row>
    <row r="93" spans="1:26" ht="12.75" customHeight="1" x14ac:dyDescent="0.25">
      <c r="A93" s="133"/>
      <c r="B93" s="8"/>
      <c r="C93" s="8"/>
      <c r="D93" s="8"/>
      <c r="E93" s="8"/>
      <c r="F93" s="8"/>
      <c r="G93" s="8"/>
      <c r="H93" s="8"/>
      <c r="I93" s="8"/>
      <c r="J93" s="8"/>
      <c r="K93" s="8"/>
      <c r="L93" s="94"/>
      <c r="M93" s="8"/>
      <c r="N93" s="8"/>
      <c r="O93" s="8"/>
      <c r="P93" s="8"/>
      <c r="Q93" s="8"/>
      <c r="R93" s="8"/>
      <c r="S93" s="8"/>
      <c r="T93" s="8"/>
      <c r="U93" s="8"/>
      <c r="V93" s="8"/>
      <c r="W93" s="8"/>
      <c r="X93" s="8"/>
      <c r="Y93" s="8"/>
      <c r="Z93" s="8"/>
    </row>
    <row r="94" spans="1:26" ht="12.75" customHeight="1" x14ac:dyDescent="0.25">
      <c r="A94" s="133"/>
      <c r="B94" s="8"/>
      <c r="C94" s="8"/>
      <c r="D94" s="8"/>
      <c r="E94" s="8"/>
      <c r="F94" s="8"/>
      <c r="G94" s="8"/>
      <c r="H94" s="8"/>
      <c r="I94" s="8"/>
      <c r="J94" s="8"/>
      <c r="K94" s="8"/>
      <c r="L94" s="94"/>
      <c r="M94" s="8"/>
      <c r="N94" s="8"/>
      <c r="O94" s="8"/>
      <c r="P94" s="8"/>
      <c r="Q94" s="8"/>
      <c r="R94" s="8"/>
      <c r="S94" s="8"/>
      <c r="T94" s="8"/>
      <c r="U94" s="8"/>
      <c r="V94" s="8"/>
      <c r="W94" s="8"/>
      <c r="X94" s="8"/>
      <c r="Y94" s="8"/>
      <c r="Z94" s="8"/>
    </row>
    <row r="95" spans="1:26" ht="12.75" customHeight="1" x14ac:dyDescent="0.25">
      <c r="A95" s="133"/>
      <c r="B95" s="8"/>
      <c r="C95" s="8"/>
      <c r="D95" s="8"/>
      <c r="E95" s="8"/>
      <c r="F95" s="8"/>
      <c r="G95" s="8"/>
      <c r="H95" s="8"/>
      <c r="I95" s="8"/>
      <c r="J95" s="8"/>
      <c r="K95" s="8"/>
      <c r="L95" s="94"/>
      <c r="M95" s="8"/>
      <c r="N95" s="8"/>
      <c r="O95" s="8"/>
      <c r="P95" s="8"/>
      <c r="Q95" s="8"/>
      <c r="R95" s="8"/>
      <c r="S95" s="8"/>
      <c r="T95" s="8"/>
      <c r="U95" s="8"/>
      <c r="V95" s="8"/>
      <c r="W95" s="8"/>
      <c r="X95" s="8"/>
      <c r="Y95" s="8"/>
      <c r="Z95" s="8"/>
    </row>
    <row r="96" spans="1:26" ht="12.75" customHeight="1" x14ac:dyDescent="0.25">
      <c r="A96" s="133"/>
      <c r="B96" s="8"/>
      <c r="C96" s="8"/>
      <c r="D96" s="8"/>
      <c r="E96" s="8"/>
      <c r="F96" s="8"/>
      <c r="G96" s="8"/>
      <c r="H96" s="8"/>
      <c r="I96" s="8"/>
      <c r="J96" s="8"/>
      <c r="K96" s="8"/>
      <c r="L96" s="94"/>
      <c r="M96" s="8"/>
      <c r="N96" s="8"/>
      <c r="O96" s="8"/>
      <c r="P96" s="8"/>
      <c r="Q96" s="8"/>
      <c r="R96" s="8"/>
      <c r="S96" s="8"/>
      <c r="T96" s="8"/>
      <c r="U96" s="8"/>
      <c r="V96" s="8"/>
      <c r="W96" s="8"/>
      <c r="X96" s="8"/>
      <c r="Y96" s="8"/>
      <c r="Z96" s="8"/>
    </row>
    <row r="97" spans="1:26" ht="12.75" customHeight="1" x14ac:dyDescent="0.25">
      <c r="A97" s="133"/>
      <c r="B97" s="8"/>
      <c r="C97" s="8"/>
      <c r="D97" s="8"/>
      <c r="E97" s="8"/>
      <c r="F97" s="8"/>
      <c r="G97" s="8"/>
      <c r="H97" s="8"/>
      <c r="I97" s="8"/>
      <c r="J97" s="8"/>
      <c r="K97" s="8"/>
      <c r="L97" s="94"/>
      <c r="M97" s="8"/>
      <c r="N97" s="8"/>
      <c r="O97" s="8"/>
      <c r="P97" s="8"/>
      <c r="Q97" s="8"/>
      <c r="R97" s="8"/>
      <c r="S97" s="8"/>
      <c r="T97" s="8"/>
      <c r="U97" s="8"/>
      <c r="V97" s="8"/>
      <c r="W97" s="8"/>
      <c r="X97" s="8"/>
      <c r="Y97" s="8"/>
      <c r="Z97" s="8"/>
    </row>
    <row r="98" spans="1:26" ht="12.75" customHeight="1" x14ac:dyDescent="0.25">
      <c r="A98" s="133"/>
      <c r="B98" s="8"/>
      <c r="C98" s="8"/>
      <c r="D98" s="8"/>
      <c r="E98" s="8"/>
      <c r="F98" s="8"/>
      <c r="G98" s="8"/>
      <c r="H98" s="8"/>
      <c r="I98" s="8"/>
      <c r="J98" s="8"/>
      <c r="K98" s="8"/>
      <c r="L98" s="94"/>
      <c r="M98" s="8"/>
      <c r="N98" s="8"/>
      <c r="O98" s="8"/>
      <c r="P98" s="8"/>
      <c r="Q98" s="8"/>
      <c r="R98" s="8"/>
      <c r="S98" s="8"/>
      <c r="T98" s="8"/>
      <c r="U98" s="8"/>
      <c r="V98" s="8"/>
      <c r="W98" s="8"/>
      <c r="X98" s="8"/>
      <c r="Y98" s="8"/>
      <c r="Z98" s="8"/>
    </row>
    <row r="99" spans="1:26" ht="12.75" customHeight="1" x14ac:dyDescent="0.25">
      <c r="A99" s="133"/>
      <c r="B99" s="8"/>
      <c r="C99" s="8"/>
      <c r="D99" s="8"/>
      <c r="E99" s="8"/>
      <c r="F99" s="8"/>
      <c r="G99" s="8"/>
      <c r="H99" s="8"/>
      <c r="I99" s="8"/>
      <c r="J99" s="8"/>
      <c r="K99" s="8"/>
      <c r="L99" s="94"/>
      <c r="M99" s="8"/>
      <c r="N99" s="8"/>
      <c r="O99" s="8"/>
      <c r="P99" s="8"/>
      <c r="Q99" s="8"/>
      <c r="R99" s="8"/>
      <c r="S99" s="8"/>
      <c r="T99" s="8"/>
      <c r="U99" s="8"/>
      <c r="V99" s="8"/>
      <c r="W99" s="8"/>
      <c r="X99" s="8"/>
      <c r="Y99" s="8"/>
      <c r="Z99" s="8"/>
    </row>
    <row r="100" spans="1:26" ht="12.75" customHeight="1" x14ac:dyDescent="0.25">
      <c r="A100" s="133"/>
      <c r="B100" s="8"/>
      <c r="C100" s="8"/>
      <c r="D100" s="8"/>
      <c r="E100" s="8"/>
      <c r="F100" s="8"/>
      <c r="G100" s="8"/>
      <c r="H100" s="8"/>
      <c r="I100" s="8"/>
      <c r="J100" s="8"/>
      <c r="K100" s="8"/>
      <c r="L100" s="94"/>
      <c r="M100" s="8"/>
      <c r="N100" s="8"/>
      <c r="O100" s="8"/>
      <c r="P100" s="8"/>
      <c r="Q100" s="8"/>
      <c r="R100" s="8"/>
      <c r="S100" s="8"/>
      <c r="T100" s="8"/>
      <c r="U100" s="8"/>
      <c r="V100" s="8"/>
      <c r="W100" s="8"/>
      <c r="X100" s="8"/>
      <c r="Y100" s="8"/>
      <c r="Z100" s="8"/>
    </row>
    <row r="101" spans="1:26" ht="12.75" customHeight="1" x14ac:dyDescent="0.25">
      <c r="A101" s="133"/>
      <c r="B101" s="8"/>
      <c r="C101" s="8"/>
      <c r="D101" s="8"/>
      <c r="E101" s="8"/>
      <c r="F101" s="8"/>
      <c r="G101" s="8"/>
      <c r="H101" s="8"/>
      <c r="I101" s="8"/>
      <c r="J101" s="8"/>
      <c r="K101" s="8"/>
      <c r="L101" s="94"/>
      <c r="M101" s="8"/>
      <c r="N101" s="8"/>
      <c r="O101" s="8"/>
      <c r="P101" s="8"/>
      <c r="Q101" s="8"/>
      <c r="R101" s="8"/>
      <c r="S101" s="8"/>
      <c r="T101" s="8"/>
      <c r="U101" s="8"/>
      <c r="V101" s="8"/>
      <c r="W101" s="8"/>
      <c r="X101" s="8"/>
      <c r="Y101" s="8"/>
      <c r="Z101" s="8"/>
    </row>
    <row r="102" spans="1:26" ht="12.75" customHeight="1" x14ac:dyDescent="0.25">
      <c r="A102" s="133"/>
      <c r="B102" s="8"/>
      <c r="C102" s="8"/>
      <c r="D102" s="8"/>
      <c r="E102" s="8"/>
      <c r="F102" s="8"/>
      <c r="G102" s="8"/>
      <c r="H102" s="8"/>
      <c r="I102" s="8"/>
      <c r="J102" s="8"/>
      <c r="K102" s="8"/>
      <c r="L102" s="94"/>
      <c r="M102" s="8"/>
      <c r="N102" s="8"/>
      <c r="O102" s="8"/>
      <c r="P102" s="8"/>
      <c r="Q102" s="8"/>
      <c r="R102" s="8"/>
      <c r="S102" s="8"/>
      <c r="T102" s="8"/>
      <c r="U102" s="8"/>
      <c r="V102" s="8"/>
      <c r="W102" s="8"/>
      <c r="X102" s="8"/>
      <c r="Y102" s="8"/>
      <c r="Z102" s="8"/>
    </row>
    <row r="103" spans="1:26" ht="12.75" customHeight="1" x14ac:dyDescent="0.25">
      <c r="A103" s="133"/>
      <c r="B103" s="8"/>
      <c r="C103" s="8"/>
      <c r="D103" s="8"/>
      <c r="E103" s="8"/>
      <c r="F103" s="8"/>
      <c r="G103" s="8"/>
      <c r="H103" s="8"/>
      <c r="I103" s="8"/>
      <c r="J103" s="8"/>
      <c r="K103" s="8"/>
      <c r="L103" s="94"/>
      <c r="M103" s="8"/>
      <c r="N103" s="8"/>
      <c r="O103" s="8"/>
      <c r="P103" s="8"/>
      <c r="Q103" s="8"/>
      <c r="R103" s="8"/>
      <c r="S103" s="8"/>
      <c r="T103" s="8"/>
      <c r="U103" s="8"/>
      <c r="V103" s="8"/>
      <c r="W103" s="8"/>
      <c r="X103" s="8"/>
      <c r="Y103" s="8"/>
      <c r="Z103" s="8"/>
    </row>
    <row r="104" spans="1:26" ht="12.75" customHeight="1" x14ac:dyDescent="0.25">
      <c r="A104" s="133"/>
      <c r="B104" s="8"/>
      <c r="C104" s="8"/>
      <c r="D104" s="8"/>
      <c r="E104" s="8"/>
      <c r="F104" s="8"/>
      <c r="G104" s="8"/>
      <c r="H104" s="8"/>
      <c r="I104" s="8"/>
      <c r="J104" s="8"/>
      <c r="K104" s="8"/>
      <c r="L104" s="94"/>
      <c r="M104" s="8"/>
      <c r="N104" s="8"/>
      <c r="O104" s="8"/>
      <c r="P104" s="8"/>
      <c r="Q104" s="8"/>
      <c r="R104" s="8"/>
      <c r="S104" s="8"/>
      <c r="T104" s="8"/>
      <c r="U104" s="8"/>
      <c r="V104" s="8"/>
      <c r="W104" s="8"/>
      <c r="X104" s="8"/>
      <c r="Y104" s="8"/>
      <c r="Z104" s="8"/>
    </row>
    <row r="105" spans="1:26" ht="12.75" customHeight="1" x14ac:dyDescent="0.25">
      <c r="A105" s="133"/>
      <c r="B105" s="8"/>
      <c r="C105" s="8"/>
      <c r="D105" s="8"/>
      <c r="E105" s="8"/>
      <c r="F105" s="8"/>
      <c r="G105" s="8"/>
      <c r="H105" s="8"/>
      <c r="I105" s="8"/>
      <c r="J105" s="8"/>
      <c r="K105" s="8"/>
      <c r="L105" s="94"/>
      <c r="M105" s="8"/>
      <c r="N105" s="8"/>
      <c r="O105" s="8"/>
      <c r="P105" s="8"/>
      <c r="Q105" s="8"/>
      <c r="R105" s="8"/>
      <c r="S105" s="8"/>
      <c r="T105" s="8"/>
      <c r="U105" s="8"/>
      <c r="V105" s="8"/>
      <c r="W105" s="8"/>
      <c r="X105" s="8"/>
      <c r="Y105" s="8"/>
      <c r="Z105" s="8"/>
    </row>
    <row r="106" spans="1:26" ht="12.75" customHeight="1" x14ac:dyDescent="0.25">
      <c r="A106" s="133"/>
      <c r="B106" s="8"/>
      <c r="C106" s="8"/>
      <c r="D106" s="8"/>
      <c r="E106" s="8"/>
      <c r="F106" s="8"/>
      <c r="G106" s="8"/>
      <c r="H106" s="8"/>
      <c r="I106" s="8"/>
      <c r="J106" s="8"/>
      <c r="K106" s="8"/>
      <c r="L106" s="94"/>
      <c r="M106" s="8"/>
      <c r="N106" s="8"/>
      <c r="O106" s="8"/>
      <c r="P106" s="8"/>
      <c r="Q106" s="8"/>
      <c r="R106" s="8"/>
      <c r="S106" s="8"/>
      <c r="T106" s="8"/>
      <c r="U106" s="8"/>
      <c r="V106" s="8"/>
      <c r="W106" s="8"/>
      <c r="X106" s="8"/>
      <c r="Y106" s="8"/>
      <c r="Z106" s="8"/>
    </row>
    <row r="107" spans="1:26" ht="12.75" customHeight="1" x14ac:dyDescent="0.25">
      <c r="A107" s="133"/>
      <c r="B107" s="8"/>
      <c r="C107" s="8"/>
      <c r="D107" s="8"/>
      <c r="E107" s="8"/>
      <c r="F107" s="8"/>
      <c r="G107" s="8"/>
      <c r="H107" s="8"/>
      <c r="I107" s="8"/>
      <c r="J107" s="8"/>
      <c r="K107" s="8"/>
      <c r="L107" s="94"/>
      <c r="M107" s="8"/>
      <c r="N107" s="8"/>
      <c r="O107" s="8"/>
      <c r="P107" s="8"/>
      <c r="Q107" s="8"/>
      <c r="R107" s="8"/>
      <c r="S107" s="8"/>
      <c r="T107" s="8"/>
      <c r="U107" s="8"/>
      <c r="V107" s="8"/>
      <c r="W107" s="8"/>
      <c r="X107" s="8"/>
      <c r="Y107" s="8"/>
      <c r="Z107" s="8"/>
    </row>
    <row r="108" spans="1:26" ht="12.75" customHeight="1" x14ac:dyDescent="0.25">
      <c r="A108" s="133"/>
      <c r="B108" s="8"/>
      <c r="C108" s="8"/>
      <c r="D108" s="8"/>
      <c r="E108" s="8"/>
      <c r="F108" s="8"/>
      <c r="G108" s="8"/>
      <c r="H108" s="8"/>
      <c r="I108" s="8"/>
      <c r="J108" s="8"/>
      <c r="K108" s="8"/>
      <c r="L108" s="94"/>
      <c r="M108" s="8"/>
      <c r="N108" s="8"/>
      <c r="O108" s="8"/>
      <c r="P108" s="8"/>
      <c r="Q108" s="8"/>
      <c r="R108" s="8"/>
      <c r="S108" s="8"/>
      <c r="T108" s="8"/>
      <c r="U108" s="8"/>
      <c r="V108" s="8"/>
      <c r="W108" s="8"/>
      <c r="X108" s="8"/>
      <c r="Y108" s="8"/>
      <c r="Z108" s="8"/>
    </row>
    <row r="109" spans="1:26" ht="12.75" customHeight="1" x14ac:dyDescent="0.25">
      <c r="A109" s="133"/>
      <c r="B109" s="8"/>
      <c r="C109" s="8"/>
      <c r="D109" s="8"/>
      <c r="E109" s="8"/>
      <c r="F109" s="8"/>
      <c r="G109" s="8"/>
      <c r="H109" s="8"/>
      <c r="I109" s="8"/>
      <c r="J109" s="8"/>
      <c r="K109" s="8"/>
      <c r="L109" s="94"/>
      <c r="M109" s="8"/>
      <c r="N109" s="8"/>
      <c r="O109" s="8"/>
      <c r="P109" s="8"/>
      <c r="Q109" s="8"/>
      <c r="R109" s="8"/>
      <c r="S109" s="8"/>
      <c r="T109" s="8"/>
      <c r="U109" s="8"/>
      <c r="V109" s="8"/>
      <c r="W109" s="8"/>
      <c r="X109" s="8"/>
      <c r="Y109" s="8"/>
      <c r="Z109" s="8"/>
    </row>
    <row r="110" spans="1:26" ht="12.75" customHeight="1" x14ac:dyDescent="0.25">
      <c r="A110" s="133"/>
      <c r="B110" s="8"/>
      <c r="C110" s="8"/>
      <c r="D110" s="8"/>
      <c r="E110" s="8"/>
      <c r="F110" s="8"/>
      <c r="G110" s="8"/>
      <c r="H110" s="8"/>
      <c r="I110" s="8"/>
      <c r="J110" s="8"/>
      <c r="K110" s="8"/>
      <c r="L110" s="94"/>
      <c r="M110" s="8"/>
      <c r="N110" s="8"/>
      <c r="O110" s="8"/>
      <c r="P110" s="8"/>
      <c r="Q110" s="8"/>
      <c r="R110" s="8"/>
      <c r="S110" s="8"/>
      <c r="T110" s="8"/>
      <c r="U110" s="8"/>
      <c r="V110" s="8"/>
      <c r="W110" s="8"/>
      <c r="X110" s="8"/>
      <c r="Y110" s="8"/>
      <c r="Z110" s="8"/>
    </row>
    <row r="111" spans="1:26" ht="12.75" customHeight="1" x14ac:dyDescent="0.25">
      <c r="A111" s="133"/>
      <c r="B111" s="8"/>
      <c r="C111" s="8"/>
      <c r="D111" s="8"/>
      <c r="E111" s="8"/>
      <c r="F111" s="8"/>
      <c r="G111" s="8"/>
      <c r="H111" s="8"/>
      <c r="I111" s="8"/>
      <c r="J111" s="8"/>
      <c r="K111" s="8"/>
      <c r="L111" s="94"/>
      <c r="M111" s="8"/>
      <c r="N111" s="8"/>
      <c r="O111" s="8"/>
      <c r="P111" s="8"/>
      <c r="Q111" s="8"/>
      <c r="R111" s="8"/>
      <c r="S111" s="8"/>
      <c r="T111" s="8"/>
      <c r="U111" s="8"/>
      <c r="V111" s="8"/>
      <c r="W111" s="8"/>
      <c r="X111" s="8"/>
      <c r="Y111" s="8"/>
      <c r="Z111" s="8"/>
    </row>
    <row r="112" spans="1:26" ht="12.75" customHeight="1" x14ac:dyDescent="0.25">
      <c r="A112" s="133"/>
      <c r="B112" s="8"/>
      <c r="C112" s="8"/>
      <c r="D112" s="8"/>
      <c r="E112" s="8"/>
      <c r="F112" s="8"/>
      <c r="G112" s="8"/>
      <c r="H112" s="8"/>
      <c r="I112" s="8"/>
      <c r="J112" s="8"/>
      <c r="K112" s="8"/>
      <c r="L112" s="94"/>
      <c r="M112" s="8"/>
      <c r="N112" s="8"/>
      <c r="O112" s="8"/>
      <c r="P112" s="8"/>
      <c r="Q112" s="8"/>
      <c r="R112" s="8"/>
      <c r="S112" s="8"/>
      <c r="T112" s="8"/>
      <c r="U112" s="8"/>
      <c r="V112" s="8"/>
      <c r="W112" s="8"/>
      <c r="X112" s="8"/>
      <c r="Y112" s="8"/>
      <c r="Z112" s="8"/>
    </row>
    <row r="113" spans="1:26" ht="12.75" customHeight="1" x14ac:dyDescent="0.25">
      <c r="A113" s="133"/>
      <c r="B113" s="8"/>
      <c r="C113" s="8"/>
      <c r="D113" s="8"/>
      <c r="E113" s="8"/>
      <c r="F113" s="8"/>
      <c r="G113" s="8"/>
      <c r="H113" s="8"/>
      <c r="I113" s="8"/>
      <c r="J113" s="8"/>
      <c r="K113" s="8"/>
      <c r="L113" s="94"/>
      <c r="M113" s="8"/>
      <c r="N113" s="8"/>
      <c r="O113" s="8"/>
      <c r="P113" s="8"/>
      <c r="Q113" s="8"/>
      <c r="R113" s="8"/>
      <c r="S113" s="8"/>
      <c r="T113" s="8"/>
      <c r="U113" s="8"/>
      <c r="V113" s="8"/>
      <c r="W113" s="8"/>
      <c r="X113" s="8"/>
      <c r="Y113" s="8"/>
      <c r="Z113" s="8"/>
    </row>
    <row r="114" spans="1:26" ht="12.75" customHeight="1" x14ac:dyDescent="0.25">
      <c r="A114" s="133"/>
      <c r="B114" s="8"/>
      <c r="C114" s="8"/>
      <c r="D114" s="8"/>
      <c r="E114" s="8"/>
      <c r="F114" s="8"/>
      <c r="G114" s="8"/>
      <c r="H114" s="8"/>
      <c r="I114" s="8"/>
      <c r="J114" s="8"/>
      <c r="K114" s="8"/>
      <c r="L114" s="94"/>
      <c r="M114" s="8"/>
      <c r="N114" s="8"/>
      <c r="O114" s="8"/>
      <c r="P114" s="8"/>
      <c r="Q114" s="8"/>
      <c r="R114" s="8"/>
      <c r="S114" s="8"/>
      <c r="T114" s="8"/>
      <c r="U114" s="8"/>
      <c r="V114" s="8"/>
      <c r="W114" s="8"/>
      <c r="X114" s="8"/>
      <c r="Y114" s="8"/>
      <c r="Z114" s="8"/>
    </row>
    <row r="115" spans="1:26" ht="12.75" customHeight="1" x14ac:dyDescent="0.25">
      <c r="A115" s="133"/>
      <c r="B115" s="8"/>
      <c r="C115" s="8"/>
      <c r="D115" s="8"/>
      <c r="E115" s="8"/>
      <c r="F115" s="8"/>
      <c r="G115" s="8"/>
      <c r="H115" s="8"/>
      <c r="I115" s="8"/>
      <c r="J115" s="8"/>
      <c r="K115" s="8"/>
      <c r="L115" s="94"/>
      <c r="M115" s="8"/>
      <c r="N115" s="8"/>
      <c r="O115" s="8"/>
      <c r="P115" s="8"/>
      <c r="Q115" s="8"/>
      <c r="R115" s="8"/>
      <c r="S115" s="8"/>
      <c r="T115" s="8"/>
      <c r="U115" s="8"/>
      <c r="V115" s="8"/>
      <c r="W115" s="8"/>
      <c r="X115" s="8"/>
      <c r="Y115" s="8"/>
      <c r="Z115" s="8"/>
    </row>
    <row r="116" spans="1:26" ht="12.75" customHeight="1" x14ac:dyDescent="0.25">
      <c r="A116" s="133"/>
      <c r="B116" s="8"/>
      <c r="C116" s="8"/>
      <c r="D116" s="8"/>
      <c r="E116" s="8"/>
      <c r="F116" s="8"/>
      <c r="G116" s="8"/>
      <c r="H116" s="8"/>
      <c r="I116" s="8"/>
      <c r="J116" s="8"/>
      <c r="K116" s="8"/>
      <c r="L116" s="94"/>
      <c r="M116" s="8"/>
      <c r="N116" s="8"/>
      <c r="O116" s="8"/>
      <c r="P116" s="8"/>
      <c r="Q116" s="8"/>
      <c r="R116" s="8"/>
      <c r="S116" s="8"/>
      <c r="T116" s="8"/>
      <c r="U116" s="8"/>
      <c r="V116" s="8"/>
      <c r="W116" s="8"/>
      <c r="X116" s="8"/>
      <c r="Y116" s="8"/>
      <c r="Z116" s="8"/>
    </row>
    <row r="117" spans="1:26" ht="12.75" customHeight="1" x14ac:dyDescent="0.25">
      <c r="A117" s="133"/>
      <c r="B117" s="8"/>
      <c r="C117" s="8"/>
      <c r="D117" s="8"/>
      <c r="E117" s="8"/>
      <c r="F117" s="8"/>
      <c r="G117" s="8"/>
      <c r="H117" s="8"/>
      <c r="I117" s="8"/>
      <c r="J117" s="8"/>
      <c r="K117" s="8"/>
      <c r="L117" s="94"/>
      <c r="M117" s="8"/>
      <c r="N117" s="8"/>
      <c r="O117" s="8"/>
      <c r="P117" s="8"/>
      <c r="Q117" s="8"/>
      <c r="R117" s="8"/>
      <c r="S117" s="8"/>
      <c r="T117" s="8"/>
      <c r="U117" s="8"/>
      <c r="V117" s="8"/>
      <c r="W117" s="8"/>
      <c r="X117" s="8"/>
      <c r="Y117" s="8"/>
      <c r="Z117" s="8"/>
    </row>
    <row r="118" spans="1:26" ht="12.75" customHeight="1" x14ac:dyDescent="0.25">
      <c r="A118" s="133"/>
      <c r="B118" s="8"/>
      <c r="C118" s="8"/>
      <c r="D118" s="8"/>
      <c r="E118" s="8"/>
      <c r="F118" s="8"/>
      <c r="G118" s="8"/>
      <c r="H118" s="8"/>
      <c r="I118" s="8"/>
      <c r="J118" s="8"/>
      <c r="K118" s="8"/>
      <c r="L118" s="94"/>
      <c r="M118" s="8"/>
      <c r="N118" s="8"/>
      <c r="O118" s="8"/>
      <c r="P118" s="8"/>
      <c r="Q118" s="8"/>
      <c r="R118" s="8"/>
      <c r="S118" s="8"/>
      <c r="T118" s="8"/>
      <c r="U118" s="8"/>
      <c r="V118" s="8"/>
      <c r="W118" s="8"/>
      <c r="X118" s="8"/>
      <c r="Y118" s="8"/>
      <c r="Z118" s="8"/>
    </row>
    <row r="119" spans="1:26" ht="12.75" customHeight="1" x14ac:dyDescent="0.25">
      <c r="A119" s="133"/>
      <c r="B119" s="8"/>
      <c r="C119" s="8"/>
      <c r="D119" s="8"/>
      <c r="E119" s="8"/>
      <c r="F119" s="8"/>
      <c r="G119" s="8"/>
      <c r="H119" s="8"/>
      <c r="I119" s="8"/>
      <c r="J119" s="8"/>
      <c r="K119" s="8"/>
      <c r="L119" s="94"/>
      <c r="M119" s="8"/>
      <c r="N119" s="8"/>
      <c r="O119" s="8"/>
      <c r="P119" s="8"/>
      <c r="Q119" s="8"/>
      <c r="R119" s="8"/>
      <c r="S119" s="8"/>
      <c r="T119" s="8"/>
      <c r="U119" s="8"/>
      <c r="V119" s="8"/>
      <c r="W119" s="8"/>
      <c r="X119" s="8"/>
      <c r="Y119" s="8"/>
      <c r="Z119" s="8"/>
    </row>
    <row r="120" spans="1:26" ht="12.75" customHeight="1" x14ac:dyDescent="0.25">
      <c r="A120" s="133"/>
      <c r="B120" s="8"/>
      <c r="C120" s="8"/>
      <c r="D120" s="8"/>
      <c r="E120" s="8"/>
      <c r="F120" s="8"/>
      <c r="G120" s="8"/>
      <c r="H120" s="8"/>
      <c r="I120" s="8"/>
      <c r="J120" s="8"/>
      <c r="K120" s="8"/>
      <c r="L120" s="94"/>
      <c r="M120" s="8"/>
      <c r="N120" s="8"/>
      <c r="O120" s="8"/>
      <c r="P120" s="8"/>
      <c r="Q120" s="8"/>
      <c r="R120" s="8"/>
      <c r="S120" s="8"/>
      <c r="T120" s="8"/>
      <c r="U120" s="8"/>
      <c r="V120" s="8"/>
      <c r="W120" s="8"/>
      <c r="X120" s="8"/>
      <c r="Y120" s="8"/>
      <c r="Z120" s="8"/>
    </row>
    <row r="121" spans="1:26" ht="12.75" customHeight="1" x14ac:dyDescent="0.25">
      <c r="A121" s="133"/>
      <c r="B121" s="8"/>
      <c r="C121" s="8"/>
      <c r="D121" s="8"/>
      <c r="E121" s="8"/>
      <c r="F121" s="8"/>
      <c r="G121" s="8"/>
      <c r="H121" s="8"/>
      <c r="I121" s="8"/>
      <c r="J121" s="8"/>
      <c r="K121" s="8"/>
      <c r="L121" s="94"/>
      <c r="M121" s="8"/>
      <c r="N121" s="8"/>
      <c r="O121" s="8"/>
      <c r="P121" s="8"/>
      <c r="Q121" s="8"/>
      <c r="R121" s="8"/>
      <c r="S121" s="8"/>
      <c r="T121" s="8"/>
      <c r="U121" s="8"/>
      <c r="V121" s="8"/>
      <c r="W121" s="8"/>
      <c r="X121" s="8"/>
      <c r="Y121" s="8"/>
      <c r="Z121" s="8"/>
    </row>
    <row r="122" spans="1:26" ht="12.75" customHeight="1" x14ac:dyDescent="0.25">
      <c r="A122" s="133"/>
      <c r="B122" s="8"/>
      <c r="C122" s="8"/>
      <c r="D122" s="8"/>
      <c r="E122" s="8"/>
      <c r="F122" s="8"/>
      <c r="G122" s="8"/>
      <c r="H122" s="8"/>
      <c r="I122" s="8"/>
      <c r="J122" s="8"/>
      <c r="K122" s="8"/>
      <c r="L122" s="94"/>
      <c r="M122" s="8"/>
      <c r="N122" s="8"/>
      <c r="O122" s="8"/>
      <c r="P122" s="8"/>
      <c r="Q122" s="8"/>
      <c r="R122" s="8"/>
      <c r="S122" s="8"/>
      <c r="T122" s="8"/>
      <c r="U122" s="8"/>
      <c r="V122" s="8"/>
      <c r="W122" s="8"/>
      <c r="X122" s="8"/>
      <c r="Y122" s="8"/>
      <c r="Z122" s="8"/>
    </row>
    <row r="123" spans="1:26" ht="12.75" customHeight="1" x14ac:dyDescent="0.25">
      <c r="A123" s="133"/>
      <c r="B123" s="8"/>
      <c r="C123" s="8"/>
      <c r="D123" s="8"/>
      <c r="E123" s="8"/>
      <c r="F123" s="8"/>
      <c r="G123" s="8"/>
      <c r="H123" s="8"/>
      <c r="I123" s="8"/>
      <c r="J123" s="8"/>
      <c r="K123" s="8"/>
      <c r="L123" s="94"/>
      <c r="M123" s="8"/>
      <c r="N123" s="8"/>
      <c r="O123" s="8"/>
      <c r="P123" s="8"/>
      <c r="Q123" s="8"/>
      <c r="R123" s="8"/>
      <c r="S123" s="8"/>
      <c r="T123" s="8"/>
      <c r="U123" s="8"/>
      <c r="V123" s="8"/>
      <c r="W123" s="8"/>
      <c r="X123" s="8"/>
      <c r="Y123" s="8"/>
      <c r="Z123" s="8"/>
    </row>
    <row r="124" spans="1:26" ht="12.75" customHeight="1" x14ac:dyDescent="0.25">
      <c r="A124" s="133"/>
      <c r="B124" s="8"/>
      <c r="C124" s="8"/>
      <c r="D124" s="8"/>
      <c r="E124" s="8"/>
      <c r="F124" s="8"/>
      <c r="G124" s="8"/>
      <c r="H124" s="8"/>
      <c r="I124" s="8"/>
      <c r="J124" s="8"/>
      <c r="K124" s="8"/>
      <c r="L124" s="94"/>
      <c r="M124" s="8"/>
      <c r="N124" s="8"/>
      <c r="O124" s="8"/>
      <c r="P124" s="8"/>
      <c r="Q124" s="8"/>
      <c r="R124" s="8"/>
      <c r="S124" s="8"/>
      <c r="T124" s="8"/>
      <c r="U124" s="8"/>
      <c r="V124" s="8"/>
      <c r="W124" s="8"/>
      <c r="X124" s="8"/>
      <c r="Y124" s="8"/>
      <c r="Z124" s="8"/>
    </row>
    <row r="125" spans="1:26" ht="12.75" customHeight="1" x14ac:dyDescent="0.25">
      <c r="A125" s="133"/>
      <c r="B125" s="8"/>
      <c r="C125" s="8"/>
      <c r="D125" s="8"/>
      <c r="E125" s="8"/>
      <c r="F125" s="8"/>
      <c r="G125" s="8"/>
      <c r="H125" s="8"/>
      <c r="I125" s="8"/>
      <c r="J125" s="8"/>
      <c r="K125" s="8"/>
      <c r="L125" s="94"/>
      <c r="M125" s="8"/>
      <c r="N125" s="8"/>
      <c r="O125" s="8"/>
      <c r="P125" s="8"/>
      <c r="Q125" s="8"/>
      <c r="R125" s="8"/>
      <c r="S125" s="8"/>
      <c r="T125" s="8"/>
      <c r="U125" s="8"/>
      <c r="V125" s="8"/>
      <c r="W125" s="8"/>
      <c r="X125" s="8"/>
      <c r="Y125" s="8"/>
      <c r="Z125" s="8"/>
    </row>
    <row r="126" spans="1:26" ht="12.75" customHeight="1" x14ac:dyDescent="0.25">
      <c r="A126" s="133"/>
      <c r="B126" s="8"/>
      <c r="C126" s="8"/>
      <c r="D126" s="8"/>
      <c r="E126" s="8"/>
      <c r="F126" s="8"/>
      <c r="G126" s="8"/>
      <c r="H126" s="8"/>
      <c r="I126" s="8"/>
      <c r="J126" s="8"/>
      <c r="K126" s="8"/>
      <c r="L126" s="94"/>
      <c r="M126" s="8"/>
      <c r="N126" s="8"/>
      <c r="O126" s="8"/>
      <c r="P126" s="8"/>
      <c r="Q126" s="8"/>
      <c r="R126" s="8"/>
      <c r="S126" s="8"/>
      <c r="T126" s="8"/>
      <c r="U126" s="8"/>
      <c r="V126" s="8"/>
      <c r="W126" s="8"/>
      <c r="X126" s="8"/>
      <c r="Y126" s="8"/>
      <c r="Z126" s="8"/>
    </row>
    <row r="127" spans="1:26" ht="12.75" customHeight="1" x14ac:dyDescent="0.25">
      <c r="A127" s="133"/>
      <c r="B127" s="8"/>
      <c r="C127" s="8"/>
      <c r="D127" s="8"/>
      <c r="E127" s="8"/>
      <c r="F127" s="8"/>
      <c r="G127" s="8"/>
      <c r="H127" s="8"/>
      <c r="I127" s="8"/>
      <c r="J127" s="8"/>
      <c r="K127" s="8"/>
      <c r="L127" s="94"/>
      <c r="M127" s="8"/>
      <c r="N127" s="8"/>
      <c r="O127" s="8"/>
      <c r="P127" s="8"/>
      <c r="Q127" s="8"/>
      <c r="R127" s="8"/>
      <c r="S127" s="8"/>
      <c r="T127" s="8"/>
      <c r="U127" s="8"/>
      <c r="V127" s="8"/>
      <c r="W127" s="8"/>
      <c r="X127" s="8"/>
      <c r="Y127" s="8"/>
      <c r="Z127" s="8"/>
    </row>
    <row r="128" spans="1:26" ht="12.75" customHeight="1" x14ac:dyDescent="0.25">
      <c r="A128" s="133"/>
      <c r="B128" s="8"/>
      <c r="C128" s="8"/>
      <c r="D128" s="8"/>
      <c r="E128" s="8"/>
      <c r="F128" s="8"/>
      <c r="G128" s="8"/>
      <c r="H128" s="8"/>
      <c r="I128" s="8"/>
      <c r="J128" s="8"/>
      <c r="K128" s="8"/>
      <c r="L128" s="94"/>
      <c r="M128" s="8"/>
      <c r="N128" s="8"/>
      <c r="O128" s="8"/>
      <c r="P128" s="8"/>
      <c r="Q128" s="8"/>
      <c r="R128" s="8"/>
      <c r="S128" s="8"/>
      <c r="T128" s="8"/>
      <c r="U128" s="8"/>
      <c r="V128" s="8"/>
      <c r="W128" s="8"/>
      <c r="X128" s="8"/>
      <c r="Y128" s="8"/>
      <c r="Z128" s="8"/>
    </row>
    <row r="129" spans="1:26" ht="12.75" customHeight="1" x14ac:dyDescent="0.25">
      <c r="A129" s="133"/>
      <c r="B129" s="8"/>
      <c r="C129" s="8"/>
      <c r="D129" s="8"/>
      <c r="E129" s="8"/>
      <c r="F129" s="8"/>
      <c r="G129" s="8"/>
      <c r="H129" s="8"/>
      <c r="I129" s="8"/>
      <c r="J129" s="8"/>
      <c r="K129" s="8"/>
      <c r="L129" s="94"/>
      <c r="M129" s="8"/>
      <c r="N129" s="8"/>
      <c r="O129" s="8"/>
      <c r="P129" s="8"/>
      <c r="Q129" s="8"/>
      <c r="R129" s="8"/>
      <c r="S129" s="8"/>
      <c r="T129" s="8"/>
      <c r="U129" s="8"/>
      <c r="V129" s="8"/>
      <c r="W129" s="8"/>
      <c r="X129" s="8"/>
      <c r="Y129" s="8"/>
      <c r="Z129" s="8"/>
    </row>
    <row r="130" spans="1:26" ht="12.75" customHeight="1" x14ac:dyDescent="0.25">
      <c r="A130" s="133"/>
      <c r="B130" s="8"/>
      <c r="C130" s="8"/>
      <c r="D130" s="8"/>
      <c r="E130" s="8"/>
      <c r="F130" s="8"/>
      <c r="G130" s="8"/>
      <c r="H130" s="8"/>
      <c r="I130" s="8"/>
      <c r="J130" s="8"/>
      <c r="K130" s="8"/>
      <c r="L130" s="94"/>
      <c r="M130" s="8"/>
      <c r="N130" s="8"/>
      <c r="O130" s="8"/>
      <c r="P130" s="8"/>
      <c r="Q130" s="8"/>
      <c r="R130" s="8"/>
      <c r="S130" s="8"/>
      <c r="T130" s="8"/>
      <c r="U130" s="8"/>
      <c r="V130" s="8"/>
      <c r="W130" s="8"/>
      <c r="X130" s="8"/>
      <c r="Y130" s="8"/>
      <c r="Z130" s="8"/>
    </row>
    <row r="131" spans="1:26" ht="12.75" customHeight="1" x14ac:dyDescent="0.25">
      <c r="A131" s="133"/>
      <c r="B131" s="8"/>
      <c r="C131" s="8"/>
      <c r="D131" s="8"/>
      <c r="E131" s="8"/>
      <c r="F131" s="8"/>
      <c r="G131" s="8"/>
      <c r="H131" s="8"/>
      <c r="I131" s="8"/>
      <c r="J131" s="8"/>
      <c r="K131" s="8"/>
      <c r="L131" s="94"/>
      <c r="M131" s="8"/>
      <c r="N131" s="8"/>
      <c r="O131" s="8"/>
      <c r="P131" s="8"/>
      <c r="Q131" s="8"/>
      <c r="R131" s="8"/>
      <c r="S131" s="8"/>
      <c r="T131" s="8"/>
      <c r="U131" s="8"/>
      <c r="V131" s="8"/>
      <c r="W131" s="8"/>
      <c r="X131" s="8"/>
      <c r="Y131" s="8"/>
      <c r="Z131" s="8"/>
    </row>
    <row r="132" spans="1:26" ht="12.75" customHeight="1" x14ac:dyDescent="0.25">
      <c r="A132" s="133"/>
      <c r="B132" s="8"/>
      <c r="C132" s="8"/>
      <c r="D132" s="8"/>
      <c r="E132" s="8"/>
      <c r="F132" s="8"/>
      <c r="G132" s="8"/>
      <c r="H132" s="8"/>
      <c r="I132" s="8"/>
      <c r="J132" s="8"/>
      <c r="K132" s="8"/>
      <c r="L132" s="94"/>
      <c r="M132" s="8"/>
      <c r="N132" s="8"/>
      <c r="O132" s="8"/>
      <c r="P132" s="8"/>
      <c r="Q132" s="8"/>
      <c r="R132" s="8"/>
      <c r="S132" s="8"/>
      <c r="T132" s="8"/>
      <c r="U132" s="8"/>
      <c r="V132" s="8"/>
      <c r="W132" s="8"/>
      <c r="X132" s="8"/>
      <c r="Y132" s="8"/>
      <c r="Z132" s="8"/>
    </row>
    <row r="133" spans="1:26" ht="12.75" customHeight="1" x14ac:dyDescent="0.25">
      <c r="A133" s="133"/>
      <c r="B133" s="8"/>
      <c r="C133" s="8"/>
      <c r="D133" s="8"/>
      <c r="E133" s="8"/>
      <c r="F133" s="8"/>
      <c r="G133" s="8"/>
      <c r="H133" s="8"/>
      <c r="I133" s="8"/>
      <c r="J133" s="8"/>
      <c r="K133" s="8"/>
      <c r="L133" s="94"/>
      <c r="M133" s="8"/>
      <c r="N133" s="8"/>
      <c r="O133" s="8"/>
      <c r="P133" s="8"/>
      <c r="Q133" s="8"/>
      <c r="R133" s="8"/>
      <c r="S133" s="8"/>
      <c r="T133" s="8"/>
      <c r="U133" s="8"/>
      <c r="V133" s="8"/>
      <c r="W133" s="8"/>
      <c r="X133" s="8"/>
      <c r="Y133" s="8"/>
      <c r="Z133" s="8"/>
    </row>
    <row r="134" spans="1:26" ht="12.75" customHeight="1" x14ac:dyDescent="0.25">
      <c r="A134" s="133"/>
      <c r="B134" s="8"/>
      <c r="C134" s="8"/>
      <c r="D134" s="8"/>
      <c r="E134" s="8"/>
      <c r="F134" s="8"/>
      <c r="G134" s="8"/>
      <c r="H134" s="8"/>
      <c r="I134" s="8"/>
      <c r="J134" s="8"/>
      <c r="K134" s="8"/>
      <c r="L134" s="94"/>
      <c r="M134" s="8"/>
      <c r="N134" s="8"/>
      <c r="O134" s="8"/>
      <c r="P134" s="8"/>
      <c r="Q134" s="8"/>
      <c r="R134" s="8"/>
      <c r="S134" s="8"/>
      <c r="T134" s="8"/>
      <c r="U134" s="8"/>
      <c r="V134" s="8"/>
      <c r="W134" s="8"/>
      <c r="X134" s="8"/>
      <c r="Y134" s="8"/>
      <c r="Z134" s="8"/>
    </row>
    <row r="135" spans="1:26" ht="12.75" customHeight="1" x14ac:dyDescent="0.25">
      <c r="A135" s="133"/>
      <c r="B135" s="8"/>
      <c r="C135" s="8"/>
      <c r="D135" s="8"/>
      <c r="E135" s="8"/>
      <c r="F135" s="8"/>
      <c r="G135" s="8"/>
      <c r="H135" s="8"/>
      <c r="I135" s="8"/>
      <c r="J135" s="8"/>
      <c r="K135" s="8"/>
      <c r="L135" s="94"/>
      <c r="M135" s="8"/>
      <c r="N135" s="8"/>
      <c r="O135" s="8"/>
      <c r="P135" s="8"/>
      <c r="Q135" s="8"/>
      <c r="R135" s="8"/>
      <c r="S135" s="8"/>
      <c r="T135" s="8"/>
      <c r="U135" s="8"/>
      <c r="V135" s="8"/>
      <c r="W135" s="8"/>
      <c r="X135" s="8"/>
      <c r="Y135" s="8"/>
      <c r="Z135" s="8"/>
    </row>
    <row r="136" spans="1:26" ht="12.75" customHeight="1" x14ac:dyDescent="0.25">
      <c r="A136" s="133"/>
      <c r="B136" s="8"/>
      <c r="C136" s="8"/>
      <c r="D136" s="8"/>
      <c r="E136" s="8"/>
      <c r="F136" s="8"/>
      <c r="G136" s="8"/>
      <c r="H136" s="8"/>
      <c r="I136" s="8"/>
      <c r="J136" s="8"/>
      <c r="K136" s="8"/>
      <c r="L136" s="94"/>
      <c r="M136" s="8"/>
      <c r="N136" s="8"/>
      <c r="O136" s="8"/>
      <c r="P136" s="8"/>
      <c r="Q136" s="8"/>
      <c r="R136" s="8"/>
      <c r="S136" s="8"/>
      <c r="T136" s="8"/>
      <c r="U136" s="8"/>
      <c r="V136" s="8"/>
      <c r="W136" s="8"/>
      <c r="X136" s="8"/>
      <c r="Y136" s="8"/>
      <c r="Z136" s="8"/>
    </row>
    <row r="137" spans="1:26" ht="12.75" customHeight="1" x14ac:dyDescent="0.25">
      <c r="A137" s="133"/>
      <c r="B137" s="8"/>
      <c r="C137" s="8"/>
      <c r="D137" s="8"/>
      <c r="E137" s="8"/>
      <c r="F137" s="8"/>
      <c r="G137" s="8"/>
      <c r="H137" s="8"/>
      <c r="I137" s="8"/>
      <c r="J137" s="8"/>
      <c r="K137" s="8"/>
      <c r="L137" s="94"/>
      <c r="M137" s="8"/>
      <c r="N137" s="8"/>
      <c r="O137" s="8"/>
      <c r="P137" s="8"/>
      <c r="Q137" s="8"/>
      <c r="R137" s="8"/>
      <c r="S137" s="8"/>
      <c r="T137" s="8"/>
      <c r="U137" s="8"/>
      <c r="V137" s="8"/>
      <c r="W137" s="8"/>
      <c r="X137" s="8"/>
      <c r="Y137" s="8"/>
      <c r="Z137" s="8"/>
    </row>
    <row r="138" spans="1:26" ht="12.75" customHeight="1" x14ac:dyDescent="0.25">
      <c r="A138" s="133"/>
      <c r="B138" s="8"/>
      <c r="C138" s="8"/>
      <c r="D138" s="8"/>
      <c r="E138" s="8"/>
      <c r="F138" s="8"/>
      <c r="G138" s="8"/>
      <c r="H138" s="8"/>
      <c r="I138" s="8"/>
      <c r="J138" s="8"/>
      <c r="K138" s="8"/>
      <c r="L138" s="94"/>
      <c r="M138" s="8"/>
      <c r="N138" s="8"/>
      <c r="O138" s="8"/>
      <c r="P138" s="8"/>
      <c r="Q138" s="8"/>
      <c r="R138" s="8"/>
      <c r="S138" s="8"/>
      <c r="T138" s="8"/>
      <c r="U138" s="8"/>
      <c r="V138" s="8"/>
      <c r="W138" s="8"/>
      <c r="X138" s="8"/>
      <c r="Y138" s="8"/>
      <c r="Z138" s="8"/>
    </row>
    <row r="139" spans="1:26" ht="12.75" customHeight="1" x14ac:dyDescent="0.25">
      <c r="A139" s="133"/>
      <c r="B139" s="8"/>
      <c r="C139" s="8"/>
      <c r="D139" s="8"/>
      <c r="E139" s="8"/>
      <c r="F139" s="8"/>
      <c r="G139" s="8"/>
      <c r="H139" s="8"/>
      <c r="I139" s="8"/>
      <c r="J139" s="8"/>
      <c r="K139" s="8"/>
      <c r="L139" s="94"/>
      <c r="M139" s="8"/>
      <c r="N139" s="8"/>
      <c r="O139" s="8"/>
      <c r="P139" s="8"/>
      <c r="Q139" s="8"/>
      <c r="R139" s="8"/>
      <c r="S139" s="8"/>
      <c r="T139" s="8"/>
      <c r="U139" s="8"/>
      <c r="V139" s="8"/>
      <c r="W139" s="8"/>
      <c r="X139" s="8"/>
      <c r="Y139" s="8"/>
      <c r="Z139" s="8"/>
    </row>
    <row r="140" spans="1:26" ht="12.75" customHeight="1" x14ac:dyDescent="0.25">
      <c r="A140" s="133"/>
      <c r="B140" s="8"/>
      <c r="C140" s="8"/>
      <c r="D140" s="8"/>
      <c r="E140" s="8"/>
      <c r="F140" s="8"/>
      <c r="G140" s="8"/>
      <c r="H140" s="8"/>
      <c r="I140" s="8"/>
      <c r="J140" s="8"/>
      <c r="K140" s="8"/>
      <c r="L140" s="94"/>
      <c r="M140" s="8"/>
      <c r="N140" s="8"/>
      <c r="O140" s="8"/>
      <c r="P140" s="8"/>
      <c r="Q140" s="8"/>
      <c r="R140" s="8"/>
      <c r="S140" s="8"/>
      <c r="T140" s="8"/>
      <c r="U140" s="8"/>
      <c r="V140" s="8"/>
      <c r="W140" s="8"/>
      <c r="X140" s="8"/>
      <c r="Y140" s="8"/>
      <c r="Z140" s="8"/>
    </row>
    <row r="141" spans="1:26" ht="12.75" customHeight="1" x14ac:dyDescent="0.25">
      <c r="A141" s="133"/>
      <c r="B141" s="8"/>
      <c r="C141" s="8"/>
      <c r="D141" s="8"/>
      <c r="E141" s="8"/>
      <c r="F141" s="8"/>
      <c r="G141" s="8"/>
      <c r="H141" s="8"/>
      <c r="I141" s="8"/>
      <c r="J141" s="8"/>
      <c r="K141" s="8"/>
      <c r="L141" s="94"/>
      <c r="M141" s="8"/>
      <c r="N141" s="8"/>
      <c r="O141" s="8"/>
      <c r="P141" s="8"/>
      <c r="Q141" s="8"/>
      <c r="R141" s="8"/>
      <c r="S141" s="8"/>
      <c r="T141" s="8"/>
      <c r="U141" s="8"/>
      <c r="V141" s="8"/>
      <c r="W141" s="8"/>
      <c r="X141" s="8"/>
      <c r="Y141" s="8"/>
      <c r="Z141" s="8"/>
    </row>
    <row r="142" spans="1:26" ht="12.75" customHeight="1" x14ac:dyDescent="0.25">
      <c r="A142" s="133"/>
      <c r="B142" s="8"/>
      <c r="C142" s="8"/>
      <c r="D142" s="8"/>
      <c r="E142" s="8"/>
      <c r="F142" s="8"/>
      <c r="G142" s="8"/>
      <c r="H142" s="8"/>
      <c r="I142" s="8"/>
      <c r="J142" s="8"/>
      <c r="K142" s="8"/>
      <c r="L142" s="94"/>
      <c r="M142" s="8"/>
      <c r="N142" s="8"/>
      <c r="O142" s="8"/>
      <c r="P142" s="8"/>
      <c r="Q142" s="8"/>
      <c r="R142" s="8"/>
      <c r="S142" s="8"/>
      <c r="T142" s="8"/>
      <c r="U142" s="8"/>
      <c r="V142" s="8"/>
      <c r="W142" s="8"/>
      <c r="X142" s="8"/>
      <c r="Y142" s="8"/>
      <c r="Z142" s="8"/>
    </row>
    <row r="143" spans="1:26" ht="12.75" customHeight="1" x14ac:dyDescent="0.25">
      <c r="A143" s="133"/>
      <c r="B143" s="8"/>
      <c r="C143" s="8"/>
      <c r="D143" s="8"/>
      <c r="E143" s="8"/>
      <c r="F143" s="8"/>
      <c r="G143" s="8"/>
      <c r="H143" s="8"/>
      <c r="I143" s="8"/>
      <c r="J143" s="8"/>
      <c r="K143" s="8"/>
      <c r="L143" s="94"/>
      <c r="M143" s="8"/>
      <c r="N143" s="8"/>
      <c r="O143" s="8"/>
      <c r="P143" s="8"/>
      <c r="Q143" s="8"/>
      <c r="R143" s="8"/>
      <c r="S143" s="8"/>
      <c r="T143" s="8"/>
      <c r="U143" s="8"/>
      <c r="V143" s="8"/>
      <c r="W143" s="8"/>
      <c r="X143" s="8"/>
      <c r="Y143" s="8"/>
      <c r="Z143" s="8"/>
    </row>
    <row r="144" spans="1:26" ht="12.75" customHeight="1" x14ac:dyDescent="0.25">
      <c r="A144" s="133"/>
      <c r="B144" s="8"/>
      <c r="C144" s="8"/>
      <c r="D144" s="8"/>
      <c r="E144" s="8"/>
      <c r="F144" s="8"/>
      <c r="G144" s="8"/>
      <c r="H144" s="8"/>
      <c r="I144" s="8"/>
      <c r="J144" s="8"/>
      <c r="K144" s="8"/>
      <c r="L144" s="94"/>
      <c r="M144" s="8"/>
      <c r="N144" s="8"/>
      <c r="O144" s="8"/>
      <c r="P144" s="8"/>
      <c r="Q144" s="8"/>
      <c r="R144" s="8"/>
      <c r="S144" s="8"/>
      <c r="T144" s="8"/>
      <c r="U144" s="8"/>
      <c r="V144" s="8"/>
      <c r="W144" s="8"/>
      <c r="X144" s="8"/>
      <c r="Y144" s="8"/>
      <c r="Z144" s="8"/>
    </row>
    <row r="145" spans="1:26" ht="12.75" customHeight="1" x14ac:dyDescent="0.25">
      <c r="A145" s="133"/>
      <c r="B145" s="8"/>
      <c r="C145" s="8"/>
      <c r="D145" s="8"/>
      <c r="E145" s="8"/>
      <c r="F145" s="8"/>
      <c r="G145" s="8"/>
      <c r="H145" s="8"/>
      <c r="I145" s="8"/>
      <c r="J145" s="8"/>
      <c r="K145" s="8"/>
      <c r="L145" s="94"/>
      <c r="M145" s="8"/>
      <c r="N145" s="8"/>
      <c r="O145" s="8"/>
      <c r="P145" s="8"/>
      <c r="Q145" s="8"/>
      <c r="R145" s="8"/>
      <c r="S145" s="8"/>
      <c r="T145" s="8"/>
      <c r="U145" s="8"/>
      <c r="V145" s="8"/>
      <c r="W145" s="8"/>
      <c r="X145" s="8"/>
      <c r="Y145" s="8"/>
      <c r="Z145" s="8"/>
    </row>
    <row r="146" spans="1:26" ht="12.75" customHeight="1" x14ac:dyDescent="0.25">
      <c r="A146" s="133"/>
      <c r="B146" s="8"/>
      <c r="C146" s="8"/>
      <c r="D146" s="8"/>
      <c r="E146" s="8"/>
      <c r="F146" s="8"/>
      <c r="G146" s="8"/>
      <c r="H146" s="8"/>
      <c r="I146" s="8"/>
      <c r="J146" s="8"/>
      <c r="K146" s="8"/>
      <c r="L146" s="94"/>
      <c r="M146" s="8"/>
      <c r="N146" s="8"/>
      <c r="O146" s="8"/>
      <c r="P146" s="8"/>
      <c r="Q146" s="8"/>
      <c r="R146" s="8"/>
      <c r="S146" s="8"/>
      <c r="T146" s="8"/>
      <c r="U146" s="8"/>
      <c r="V146" s="8"/>
      <c r="W146" s="8"/>
      <c r="X146" s="8"/>
      <c r="Y146" s="8"/>
      <c r="Z146" s="8"/>
    </row>
    <row r="147" spans="1:26" ht="12.75" customHeight="1" x14ac:dyDescent="0.25">
      <c r="A147" s="133"/>
      <c r="B147" s="8"/>
      <c r="C147" s="8"/>
      <c r="D147" s="8"/>
      <c r="E147" s="8"/>
      <c r="F147" s="8"/>
      <c r="G147" s="8"/>
      <c r="H147" s="8"/>
      <c r="I147" s="8"/>
      <c r="J147" s="8"/>
      <c r="K147" s="8"/>
      <c r="L147" s="94"/>
      <c r="M147" s="8"/>
      <c r="N147" s="8"/>
      <c r="O147" s="8"/>
      <c r="P147" s="8"/>
      <c r="Q147" s="8"/>
      <c r="R147" s="8"/>
      <c r="S147" s="8"/>
      <c r="T147" s="8"/>
      <c r="U147" s="8"/>
      <c r="V147" s="8"/>
      <c r="W147" s="8"/>
      <c r="X147" s="8"/>
      <c r="Y147" s="8"/>
      <c r="Z147" s="8"/>
    </row>
    <row r="148" spans="1:26" ht="12.75" customHeight="1" x14ac:dyDescent="0.25">
      <c r="A148" s="133"/>
      <c r="B148" s="8"/>
      <c r="C148" s="8"/>
      <c r="D148" s="8"/>
      <c r="E148" s="8"/>
      <c r="F148" s="8"/>
      <c r="G148" s="8"/>
      <c r="H148" s="8"/>
      <c r="I148" s="8"/>
      <c r="J148" s="8"/>
      <c r="K148" s="8"/>
      <c r="L148" s="94"/>
      <c r="M148" s="8"/>
      <c r="N148" s="8"/>
      <c r="O148" s="8"/>
      <c r="P148" s="8"/>
      <c r="Q148" s="8"/>
      <c r="R148" s="8"/>
      <c r="S148" s="8"/>
      <c r="T148" s="8"/>
      <c r="U148" s="8"/>
      <c r="V148" s="8"/>
      <c r="W148" s="8"/>
      <c r="X148" s="8"/>
      <c r="Y148" s="8"/>
      <c r="Z148" s="8"/>
    </row>
    <row r="149" spans="1:26" ht="12.75" customHeight="1" x14ac:dyDescent="0.25">
      <c r="A149" s="133"/>
      <c r="B149" s="8"/>
      <c r="C149" s="8"/>
      <c r="D149" s="8"/>
      <c r="E149" s="8"/>
      <c r="F149" s="8"/>
      <c r="G149" s="8"/>
      <c r="H149" s="8"/>
      <c r="I149" s="8"/>
      <c r="J149" s="8"/>
      <c r="K149" s="8"/>
      <c r="L149" s="94"/>
      <c r="M149" s="8"/>
      <c r="N149" s="8"/>
      <c r="O149" s="8"/>
      <c r="P149" s="8"/>
      <c r="Q149" s="8"/>
      <c r="R149" s="8"/>
      <c r="S149" s="8"/>
      <c r="T149" s="8"/>
      <c r="U149" s="8"/>
      <c r="V149" s="8"/>
      <c r="W149" s="8"/>
      <c r="X149" s="8"/>
      <c r="Y149" s="8"/>
      <c r="Z149" s="8"/>
    </row>
    <row r="150" spans="1:26" ht="12.75" customHeight="1" x14ac:dyDescent="0.25">
      <c r="A150" s="133"/>
      <c r="B150" s="8"/>
      <c r="C150" s="8"/>
      <c r="D150" s="8"/>
      <c r="E150" s="8"/>
      <c r="F150" s="8"/>
      <c r="G150" s="8"/>
      <c r="H150" s="8"/>
      <c r="I150" s="8"/>
      <c r="J150" s="8"/>
      <c r="K150" s="8"/>
      <c r="L150" s="94"/>
      <c r="M150" s="8"/>
      <c r="N150" s="8"/>
      <c r="O150" s="8"/>
      <c r="P150" s="8"/>
      <c r="Q150" s="8"/>
      <c r="R150" s="8"/>
      <c r="S150" s="8"/>
      <c r="T150" s="8"/>
      <c r="U150" s="8"/>
      <c r="V150" s="8"/>
      <c r="W150" s="8"/>
      <c r="X150" s="8"/>
      <c r="Y150" s="8"/>
      <c r="Z150" s="8"/>
    </row>
    <row r="151" spans="1:26" ht="12.75" customHeight="1" x14ac:dyDescent="0.25">
      <c r="A151" s="133"/>
      <c r="B151" s="8"/>
      <c r="C151" s="8"/>
      <c r="D151" s="8"/>
      <c r="E151" s="8"/>
      <c r="F151" s="8"/>
      <c r="G151" s="8"/>
      <c r="H151" s="8"/>
      <c r="I151" s="8"/>
      <c r="J151" s="8"/>
      <c r="K151" s="8"/>
      <c r="L151" s="94"/>
      <c r="M151" s="8"/>
      <c r="N151" s="8"/>
      <c r="O151" s="8"/>
      <c r="P151" s="8"/>
      <c r="Q151" s="8"/>
      <c r="R151" s="8"/>
      <c r="S151" s="8"/>
      <c r="T151" s="8"/>
      <c r="U151" s="8"/>
      <c r="V151" s="8"/>
      <c r="W151" s="8"/>
      <c r="X151" s="8"/>
      <c r="Y151" s="8"/>
      <c r="Z151" s="8"/>
    </row>
    <row r="152" spans="1:26" ht="12.75" customHeight="1" x14ac:dyDescent="0.25">
      <c r="A152" s="133"/>
      <c r="B152" s="8"/>
      <c r="C152" s="8"/>
      <c r="D152" s="8"/>
      <c r="E152" s="8"/>
      <c r="F152" s="8"/>
      <c r="G152" s="8"/>
      <c r="H152" s="8"/>
      <c r="I152" s="8"/>
      <c r="J152" s="8"/>
      <c r="K152" s="8"/>
      <c r="L152" s="94"/>
      <c r="M152" s="8"/>
      <c r="N152" s="8"/>
      <c r="O152" s="8"/>
      <c r="P152" s="8"/>
      <c r="Q152" s="8"/>
      <c r="R152" s="8"/>
      <c r="S152" s="8"/>
      <c r="T152" s="8"/>
      <c r="U152" s="8"/>
      <c r="V152" s="8"/>
      <c r="W152" s="8"/>
      <c r="X152" s="8"/>
      <c r="Y152" s="8"/>
      <c r="Z152" s="8"/>
    </row>
    <row r="153" spans="1:26" ht="12.75" customHeight="1" x14ac:dyDescent="0.25">
      <c r="A153" s="133"/>
      <c r="B153" s="8"/>
      <c r="C153" s="8"/>
      <c r="D153" s="8"/>
      <c r="E153" s="8"/>
      <c r="F153" s="8"/>
      <c r="G153" s="8"/>
      <c r="H153" s="8"/>
      <c r="I153" s="8"/>
      <c r="J153" s="8"/>
      <c r="K153" s="8"/>
      <c r="L153" s="94"/>
      <c r="M153" s="8"/>
      <c r="N153" s="8"/>
      <c r="O153" s="8"/>
      <c r="P153" s="8"/>
      <c r="Q153" s="8"/>
      <c r="R153" s="8"/>
      <c r="S153" s="8"/>
      <c r="T153" s="8"/>
      <c r="U153" s="8"/>
      <c r="V153" s="8"/>
      <c r="W153" s="8"/>
      <c r="X153" s="8"/>
      <c r="Y153" s="8"/>
      <c r="Z153" s="8"/>
    </row>
    <row r="154" spans="1:26" ht="12.75" customHeight="1" x14ac:dyDescent="0.25">
      <c r="A154" s="133"/>
      <c r="B154" s="8"/>
      <c r="C154" s="8"/>
      <c r="D154" s="8"/>
      <c r="E154" s="8"/>
      <c r="F154" s="8"/>
      <c r="G154" s="8"/>
      <c r="H154" s="8"/>
      <c r="I154" s="8"/>
      <c r="J154" s="8"/>
      <c r="K154" s="8"/>
      <c r="L154" s="94"/>
      <c r="M154" s="8"/>
      <c r="N154" s="8"/>
      <c r="O154" s="8"/>
      <c r="P154" s="8"/>
      <c r="Q154" s="8"/>
      <c r="R154" s="8"/>
      <c r="S154" s="8"/>
      <c r="T154" s="8"/>
      <c r="U154" s="8"/>
      <c r="V154" s="8"/>
      <c r="W154" s="8"/>
      <c r="X154" s="8"/>
      <c r="Y154" s="8"/>
      <c r="Z154" s="8"/>
    </row>
    <row r="155" spans="1:26" ht="12.75" customHeight="1" x14ac:dyDescent="0.25">
      <c r="A155" s="133"/>
      <c r="B155" s="8"/>
      <c r="C155" s="8"/>
      <c r="D155" s="8"/>
      <c r="E155" s="8"/>
      <c r="F155" s="8"/>
      <c r="G155" s="8"/>
      <c r="H155" s="8"/>
      <c r="I155" s="8"/>
      <c r="J155" s="8"/>
      <c r="K155" s="8"/>
      <c r="L155" s="94"/>
      <c r="M155" s="8"/>
      <c r="N155" s="8"/>
      <c r="O155" s="8"/>
      <c r="P155" s="8"/>
      <c r="Q155" s="8"/>
      <c r="R155" s="8"/>
      <c r="S155" s="8"/>
      <c r="T155" s="8"/>
      <c r="U155" s="8"/>
      <c r="V155" s="8"/>
      <c r="W155" s="8"/>
      <c r="X155" s="8"/>
      <c r="Y155" s="8"/>
      <c r="Z155" s="8"/>
    </row>
    <row r="156" spans="1:26" ht="12.75" customHeight="1" x14ac:dyDescent="0.25">
      <c r="A156" s="133"/>
      <c r="B156" s="8"/>
      <c r="C156" s="8"/>
      <c r="D156" s="8"/>
      <c r="E156" s="8"/>
      <c r="F156" s="8"/>
      <c r="G156" s="8"/>
      <c r="H156" s="8"/>
      <c r="I156" s="8"/>
      <c r="J156" s="8"/>
      <c r="K156" s="8"/>
      <c r="L156" s="94"/>
      <c r="M156" s="8"/>
      <c r="N156" s="8"/>
      <c r="O156" s="8"/>
      <c r="P156" s="8"/>
      <c r="Q156" s="8"/>
      <c r="R156" s="8"/>
      <c r="S156" s="8"/>
      <c r="T156" s="8"/>
      <c r="U156" s="8"/>
      <c r="V156" s="8"/>
      <c r="W156" s="8"/>
      <c r="X156" s="8"/>
      <c r="Y156" s="8"/>
      <c r="Z156" s="8"/>
    </row>
    <row r="157" spans="1:26" ht="12.75" customHeight="1" x14ac:dyDescent="0.25">
      <c r="A157" s="133"/>
      <c r="B157" s="8"/>
      <c r="C157" s="8"/>
      <c r="D157" s="8"/>
      <c r="E157" s="8"/>
      <c r="F157" s="8"/>
      <c r="G157" s="8"/>
      <c r="H157" s="8"/>
      <c r="I157" s="8"/>
      <c r="J157" s="8"/>
      <c r="K157" s="8"/>
      <c r="L157" s="94"/>
      <c r="M157" s="8"/>
      <c r="N157" s="8"/>
      <c r="O157" s="8"/>
      <c r="P157" s="8"/>
      <c r="Q157" s="8"/>
      <c r="R157" s="8"/>
      <c r="S157" s="8"/>
      <c r="T157" s="8"/>
      <c r="U157" s="8"/>
      <c r="V157" s="8"/>
      <c r="W157" s="8"/>
      <c r="X157" s="8"/>
      <c r="Y157" s="8"/>
      <c r="Z157" s="8"/>
    </row>
    <row r="158" spans="1:26" ht="12.75" customHeight="1" x14ac:dyDescent="0.25">
      <c r="A158" s="133"/>
      <c r="B158" s="8"/>
      <c r="C158" s="8"/>
      <c r="D158" s="8"/>
      <c r="E158" s="8"/>
      <c r="F158" s="8"/>
      <c r="G158" s="8"/>
      <c r="H158" s="8"/>
      <c r="I158" s="8"/>
      <c r="J158" s="8"/>
      <c r="K158" s="8"/>
      <c r="L158" s="94"/>
      <c r="M158" s="8"/>
      <c r="N158" s="8"/>
      <c r="O158" s="8"/>
      <c r="P158" s="8"/>
      <c r="Q158" s="8"/>
      <c r="R158" s="8"/>
      <c r="S158" s="8"/>
      <c r="T158" s="8"/>
      <c r="U158" s="8"/>
      <c r="V158" s="8"/>
      <c r="W158" s="8"/>
      <c r="X158" s="8"/>
      <c r="Y158" s="8"/>
      <c r="Z158" s="8"/>
    </row>
    <row r="159" spans="1:26" ht="12.75" customHeight="1" x14ac:dyDescent="0.25">
      <c r="A159" s="133"/>
      <c r="B159" s="8"/>
      <c r="C159" s="8"/>
      <c r="D159" s="8"/>
      <c r="E159" s="8"/>
      <c r="F159" s="8"/>
      <c r="G159" s="8"/>
      <c r="H159" s="8"/>
      <c r="I159" s="8"/>
      <c r="J159" s="8"/>
      <c r="K159" s="8"/>
      <c r="L159" s="94"/>
      <c r="M159" s="8"/>
      <c r="N159" s="8"/>
      <c r="O159" s="8"/>
      <c r="P159" s="8"/>
      <c r="Q159" s="8"/>
      <c r="R159" s="8"/>
      <c r="S159" s="8"/>
      <c r="T159" s="8"/>
      <c r="U159" s="8"/>
      <c r="V159" s="8"/>
      <c r="W159" s="8"/>
      <c r="X159" s="8"/>
      <c r="Y159" s="8"/>
      <c r="Z159" s="8"/>
    </row>
    <row r="160" spans="1:26" ht="12.75" customHeight="1" x14ac:dyDescent="0.25">
      <c r="A160" s="133"/>
      <c r="B160" s="8"/>
      <c r="C160" s="8"/>
      <c r="D160" s="8"/>
      <c r="E160" s="8"/>
      <c r="F160" s="8"/>
      <c r="G160" s="8"/>
      <c r="H160" s="8"/>
      <c r="I160" s="8"/>
      <c r="J160" s="8"/>
      <c r="K160" s="8"/>
      <c r="L160" s="94"/>
      <c r="M160" s="8"/>
      <c r="N160" s="8"/>
      <c r="O160" s="8"/>
      <c r="P160" s="8"/>
      <c r="Q160" s="8"/>
      <c r="R160" s="8"/>
      <c r="S160" s="8"/>
      <c r="T160" s="8"/>
      <c r="U160" s="8"/>
      <c r="V160" s="8"/>
      <c r="W160" s="8"/>
      <c r="X160" s="8"/>
      <c r="Y160" s="8"/>
      <c r="Z160" s="8"/>
    </row>
    <row r="161" spans="1:26" ht="12.75" customHeight="1" x14ac:dyDescent="0.25">
      <c r="A161" s="133"/>
      <c r="B161" s="8"/>
      <c r="C161" s="8"/>
      <c r="D161" s="8"/>
      <c r="E161" s="8"/>
      <c r="F161" s="8"/>
      <c r="G161" s="8"/>
      <c r="H161" s="8"/>
      <c r="I161" s="8"/>
      <c r="J161" s="8"/>
      <c r="K161" s="8"/>
      <c r="L161" s="94"/>
      <c r="M161" s="8"/>
      <c r="N161" s="8"/>
      <c r="O161" s="8"/>
      <c r="P161" s="8"/>
      <c r="Q161" s="8"/>
      <c r="R161" s="8"/>
      <c r="S161" s="8"/>
      <c r="T161" s="8"/>
      <c r="U161" s="8"/>
      <c r="V161" s="8"/>
      <c r="W161" s="8"/>
      <c r="X161" s="8"/>
      <c r="Y161" s="8"/>
      <c r="Z161" s="8"/>
    </row>
    <row r="162" spans="1:26" ht="12.75" customHeight="1" x14ac:dyDescent="0.25">
      <c r="A162" s="133"/>
      <c r="B162" s="8"/>
      <c r="C162" s="8"/>
      <c r="D162" s="8"/>
      <c r="E162" s="8"/>
      <c r="F162" s="8"/>
      <c r="G162" s="8"/>
      <c r="H162" s="8"/>
      <c r="I162" s="8"/>
      <c r="J162" s="8"/>
      <c r="K162" s="8"/>
      <c r="L162" s="94"/>
      <c r="M162" s="8"/>
      <c r="N162" s="8"/>
      <c r="O162" s="8"/>
      <c r="P162" s="8"/>
      <c r="Q162" s="8"/>
      <c r="R162" s="8"/>
      <c r="S162" s="8"/>
      <c r="T162" s="8"/>
      <c r="U162" s="8"/>
      <c r="V162" s="8"/>
      <c r="W162" s="8"/>
      <c r="X162" s="8"/>
      <c r="Y162" s="8"/>
      <c r="Z162" s="8"/>
    </row>
    <row r="163" spans="1:26" ht="12.75" customHeight="1" x14ac:dyDescent="0.25">
      <c r="A163" s="133"/>
      <c r="B163" s="8"/>
      <c r="C163" s="8"/>
      <c r="D163" s="8"/>
      <c r="E163" s="8"/>
      <c r="F163" s="8"/>
      <c r="G163" s="8"/>
      <c r="H163" s="8"/>
      <c r="I163" s="8"/>
      <c r="J163" s="8"/>
      <c r="K163" s="8"/>
      <c r="L163" s="94"/>
      <c r="M163" s="8"/>
      <c r="N163" s="8"/>
      <c r="O163" s="8"/>
      <c r="P163" s="8"/>
      <c r="Q163" s="8"/>
      <c r="R163" s="8"/>
      <c r="S163" s="8"/>
      <c r="T163" s="8"/>
      <c r="U163" s="8"/>
      <c r="V163" s="8"/>
      <c r="W163" s="8"/>
      <c r="X163" s="8"/>
      <c r="Y163" s="8"/>
      <c r="Z163" s="8"/>
    </row>
    <row r="164" spans="1:26" ht="12.75" customHeight="1" x14ac:dyDescent="0.25">
      <c r="A164" s="133"/>
      <c r="B164" s="8"/>
      <c r="C164" s="8"/>
      <c r="D164" s="8"/>
      <c r="E164" s="8"/>
      <c r="F164" s="8"/>
      <c r="G164" s="8"/>
      <c r="H164" s="8"/>
      <c r="I164" s="8"/>
      <c r="J164" s="8"/>
      <c r="K164" s="8"/>
      <c r="L164" s="94"/>
      <c r="M164" s="8"/>
      <c r="N164" s="8"/>
      <c r="O164" s="8"/>
      <c r="P164" s="8"/>
      <c r="Q164" s="8"/>
      <c r="R164" s="8"/>
      <c r="S164" s="8"/>
      <c r="T164" s="8"/>
      <c r="U164" s="8"/>
      <c r="V164" s="8"/>
      <c r="W164" s="8"/>
      <c r="X164" s="8"/>
      <c r="Y164" s="8"/>
      <c r="Z164" s="8"/>
    </row>
    <row r="165" spans="1:26" ht="12.75" customHeight="1" x14ac:dyDescent="0.25">
      <c r="A165" s="133"/>
      <c r="B165" s="8"/>
      <c r="C165" s="8"/>
      <c r="D165" s="8"/>
      <c r="E165" s="8"/>
      <c r="F165" s="8"/>
      <c r="G165" s="8"/>
      <c r="H165" s="8"/>
      <c r="I165" s="8"/>
      <c r="J165" s="8"/>
      <c r="K165" s="8"/>
      <c r="L165" s="94"/>
      <c r="M165" s="8"/>
      <c r="N165" s="8"/>
      <c r="O165" s="8"/>
      <c r="P165" s="8"/>
      <c r="Q165" s="8"/>
      <c r="R165" s="8"/>
      <c r="S165" s="8"/>
      <c r="T165" s="8"/>
      <c r="U165" s="8"/>
      <c r="V165" s="8"/>
      <c r="W165" s="8"/>
      <c r="X165" s="8"/>
      <c r="Y165" s="8"/>
      <c r="Z165" s="8"/>
    </row>
    <row r="166" spans="1:26" ht="12.75" customHeight="1" x14ac:dyDescent="0.25">
      <c r="A166" s="133"/>
      <c r="B166" s="8"/>
      <c r="C166" s="8"/>
      <c r="D166" s="8"/>
      <c r="E166" s="8"/>
      <c r="F166" s="8"/>
      <c r="G166" s="8"/>
      <c r="H166" s="8"/>
      <c r="I166" s="8"/>
      <c r="J166" s="8"/>
      <c r="K166" s="8"/>
      <c r="L166" s="94"/>
      <c r="M166" s="8"/>
      <c r="N166" s="8"/>
      <c r="O166" s="8"/>
      <c r="P166" s="8"/>
      <c r="Q166" s="8"/>
      <c r="R166" s="8"/>
      <c r="S166" s="8"/>
      <c r="T166" s="8"/>
      <c r="U166" s="8"/>
      <c r="V166" s="8"/>
      <c r="W166" s="8"/>
      <c r="X166" s="8"/>
      <c r="Y166" s="8"/>
      <c r="Z166" s="8"/>
    </row>
    <row r="167" spans="1:26" ht="12.75" customHeight="1" x14ac:dyDescent="0.25">
      <c r="A167" s="133"/>
      <c r="B167" s="8"/>
      <c r="C167" s="8"/>
      <c r="D167" s="8"/>
      <c r="E167" s="8"/>
      <c r="F167" s="8"/>
      <c r="G167" s="8"/>
      <c r="H167" s="8"/>
      <c r="I167" s="8"/>
      <c r="J167" s="8"/>
      <c r="K167" s="8"/>
      <c r="L167" s="94"/>
      <c r="M167" s="8"/>
      <c r="N167" s="8"/>
      <c r="O167" s="8"/>
      <c r="P167" s="8"/>
      <c r="Q167" s="8"/>
      <c r="R167" s="8"/>
      <c r="S167" s="8"/>
      <c r="T167" s="8"/>
      <c r="U167" s="8"/>
      <c r="V167" s="8"/>
      <c r="W167" s="8"/>
      <c r="X167" s="8"/>
      <c r="Y167" s="8"/>
      <c r="Z167" s="8"/>
    </row>
    <row r="168" spans="1:26" ht="12.75" customHeight="1" x14ac:dyDescent="0.25">
      <c r="A168" s="133"/>
      <c r="B168" s="8"/>
      <c r="C168" s="8"/>
      <c r="D168" s="8"/>
      <c r="E168" s="8"/>
      <c r="F168" s="8"/>
      <c r="G168" s="8"/>
      <c r="H168" s="8"/>
      <c r="I168" s="8"/>
      <c r="J168" s="8"/>
      <c r="K168" s="8"/>
      <c r="L168" s="94"/>
      <c r="M168" s="8"/>
      <c r="N168" s="8"/>
      <c r="O168" s="8"/>
      <c r="P168" s="8"/>
      <c r="Q168" s="8"/>
      <c r="R168" s="8"/>
      <c r="S168" s="8"/>
      <c r="T168" s="8"/>
      <c r="U168" s="8"/>
      <c r="V168" s="8"/>
      <c r="W168" s="8"/>
      <c r="X168" s="8"/>
      <c r="Y168" s="8"/>
      <c r="Z168" s="8"/>
    </row>
    <row r="169" spans="1:26" ht="12.75" customHeight="1" x14ac:dyDescent="0.25">
      <c r="A169" s="133"/>
      <c r="B169" s="8"/>
      <c r="C169" s="8"/>
      <c r="D169" s="8"/>
      <c r="E169" s="8"/>
      <c r="F169" s="8"/>
      <c r="G169" s="8"/>
      <c r="H169" s="8"/>
      <c r="I169" s="8"/>
      <c r="J169" s="8"/>
      <c r="K169" s="8"/>
      <c r="L169" s="94"/>
      <c r="M169" s="8"/>
      <c r="N169" s="8"/>
      <c r="O169" s="8"/>
      <c r="P169" s="8"/>
      <c r="Q169" s="8"/>
      <c r="R169" s="8"/>
      <c r="S169" s="8"/>
      <c r="T169" s="8"/>
      <c r="U169" s="8"/>
      <c r="V169" s="8"/>
      <c r="W169" s="8"/>
      <c r="X169" s="8"/>
      <c r="Y169" s="8"/>
      <c r="Z169" s="8"/>
    </row>
    <row r="170" spans="1:26" ht="12.75" customHeight="1" x14ac:dyDescent="0.25">
      <c r="A170" s="133"/>
      <c r="B170" s="8"/>
      <c r="C170" s="8"/>
      <c r="D170" s="8"/>
      <c r="E170" s="8"/>
      <c r="F170" s="8"/>
      <c r="G170" s="8"/>
      <c r="H170" s="8"/>
      <c r="I170" s="8"/>
      <c r="J170" s="8"/>
      <c r="K170" s="8"/>
      <c r="L170" s="94"/>
      <c r="M170" s="8"/>
      <c r="N170" s="8"/>
      <c r="O170" s="8"/>
      <c r="P170" s="8"/>
      <c r="Q170" s="8"/>
      <c r="R170" s="8"/>
      <c r="S170" s="8"/>
      <c r="T170" s="8"/>
      <c r="U170" s="8"/>
      <c r="V170" s="8"/>
      <c r="W170" s="8"/>
      <c r="X170" s="8"/>
      <c r="Y170" s="8"/>
      <c r="Z170" s="8"/>
    </row>
    <row r="171" spans="1:26" ht="12.75" customHeight="1" x14ac:dyDescent="0.25">
      <c r="A171" s="133"/>
      <c r="B171" s="8"/>
      <c r="C171" s="8"/>
      <c r="D171" s="8"/>
      <c r="E171" s="8"/>
      <c r="F171" s="8"/>
      <c r="G171" s="8"/>
      <c r="H171" s="8"/>
      <c r="I171" s="8"/>
      <c r="J171" s="8"/>
      <c r="K171" s="8"/>
      <c r="L171" s="94"/>
      <c r="M171" s="8"/>
      <c r="N171" s="8"/>
      <c r="O171" s="8"/>
      <c r="P171" s="8"/>
      <c r="Q171" s="8"/>
      <c r="R171" s="8"/>
      <c r="S171" s="8"/>
      <c r="T171" s="8"/>
      <c r="U171" s="8"/>
      <c r="V171" s="8"/>
      <c r="W171" s="8"/>
      <c r="X171" s="8"/>
      <c r="Y171" s="8"/>
      <c r="Z171" s="8"/>
    </row>
    <row r="172" spans="1:26" ht="12.75" customHeight="1" x14ac:dyDescent="0.25">
      <c r="A172" s="133"/>
      <c r="B172" s="8"/>
      <c r="C172" s="8"/>
      <c r="D172" s="8"/>
      <c r="E172" s="8"/>
      <c r="F172" s="8"/>
      <c r="G172" s="8"/>
      <c r="H172" s="8"/>
      <c r="I172" s="8"/>
      <c r="J172" s="8"/>
      <c r="K172" s="8"/>
      <c r="L172" s="94"/>
      <c r="M172" s="8"/>
      <c r="N172" s="8"/>
      <c r="O172" s="8"/>
      <c r="P172" s="8"/>
      <c r="Q172" s="8"/>
      <c r="R172" s="8"/>
      <c r="S172" s="8"/>
      <c r="T172" s="8"/>
      <c r="U172" s="8"/>
      <c r="V172" s="8"/>
      <c r="W172" s="8"/>
      <c r="X172" s="8"/>
      <c r="Y172" s="8"/>
      <c r="Z172" s="8"/>
    </row>
    <row r="173" spans="1:26" ht="12.75" customHeight="1" x14ac:dyDescent="0.25">
      <c r="A173" s="133"/>
      <c r="B173" s="8"/>
      <c r="C173" s="8"/>
      <c r="D173" s="8"/>
      <c r="E173" s="8"/>
      <c r="F173" s="8"/>
      <c r="G173" s="8"/>
      <c r="H173" s="8"/>
      <c r="I173" s="8"/>
      <c r="J173" s="8"/>
      <c r="K173" s="8"/>
      <c r="L173" s="94"/>
      <c r="M173" s="8"/>
      <c r="N173" s="8"/>
      <c r="O173" s="8"/>
      <c r="P173" s="8"/>
      <c r="Q173" s="8"/>
      <c r="R173" s="8"/>
      <c r="S173" s="8"/>
      <c r="T173" s="8"/>
      <c r="U173" s="8"/>
      <c r="V173" s="8"/>
      <c r="W173" s="8"/>
      <c r="X173" s="8"/>
      <c r="Y173" s="8"/>
      <c r="Z173" s="8"/>
    </row>
    <row r="174" spans="1:26" ht="12.75" customHeight="1" x14ac:dyDescent="0.25">
      <c r="A174" s="133"/>
      <c r="B174" s="8"/>
      <c r="C174" s="8"/>
      <c r="D174" s="8"/>
      <c r="E174" s="8"/>
      <c r="F174" s="8"/>
      <c r="G174" s="8"/>
      <c r="H174" s="8"/>
      <c r="I174" s="8"/>
      <c r="J174" s="8"/>
      <c r="K174" s="8"/>
      <c r="L174" s="94"/>
      <c r="M174" s="8"/>
      <c r="N174" s="8"/>
      <c r="O174" s="8"/>
      <c r="P174" s="8"/>
      <c r="Q174" s="8"/>
      <c r="R174" s="8"/>
      <c r="S174" s="8"/>
      <c r="T174" s="8"/>
      <c r="U174" s="8"/>
      <c r="V174" s="8"/>
      <c r="W174" s="8"/>
      <c r="X174" s="8"/>
      <c r="Y174" s="8"/>
      <c r="Z174" s="8"/>
    </row>
    <row r="175" spans="1:26" ht="12.75" customHeight="1" x14ac:dyDescent="0.25">
      <c r="A175" s="133"/>
      <c r="B175" s="8"/>
      <c r="C175" s="8"/>
      <c r="D175" s="8"/>
      <c r="E175" s="8"/>
      <c r="F175" s="8"/>
      <c r="G175" s="8"/>
      <c r="H175" s="8"/>
      <c r="I175" s="8"/>
      <c r="J175" s="8"/>
      <c r="K175" s="8"/>
      <c r="L175" s="94"/>
      <c r="M175" s="8"/>
      <c r="N175" s="8"/>
      <c r="O175" s="8"/>
      <c r="P175" s="8"/>
      <c r="Q175" s="8"/>
      <c r="R175" s="8"/>
      <c r="S175" s="8"/>
      <c r="T175" s="8"/>
      <c r="U175" s="8"/>
      <c r="V175" s="8"/>
      <c r="W175" s="8"/>
      <c r="X175" s="8"/>
      <c r="Y175" s="8"/>
      <c r="Z175" s="8"/>
    </row>
    <row r="176" spans="1:26" ht="12.75" customHeight="1" x14ac:dyDescent="0.25">
      <c r="A176" s="133"/>
      <c r="B176" s="8"/>
      <c r="C176" s="8"/>
      <c r="D176" s="8"/>
      <c r="E176" s="8"/>
      <c r="F176" s="8"/>
      <c r="G176" s="8"/>
      <c r="H176" s="8"/>
      <c r="I176" s="8"/>
      <c r="J176" s="8"/>
      <c r="K176" s="8"/>
      <c r="L176" s="94"/>
      <c r="M176" s="8"/>
      <c r="N176" s="8"/>
      <c r="O176" s="8"/>
      <c r="P176" s="8"/>
      <c r="Q176" s="8"/>
      <c r="R176" s="8"/>
      <c r="S176" s="8"/>
      <c r="T176" s="8"/>
      <c r="U176" s="8"/>
      <c r="V176" s="8"/>
      <c r="W176" s="8"/>
      <c r="X176" s="8"/>
      <c r="Y176" s="8"/>
      <c r="Z176" s="8"/>
    </row>
    <row r="177" spans="1:26" ht="12.75" customHeight="1" x14ac:dyDescent="0.25">
      <c r="A177" s="133"/>
      <c r="B177" s="8"/>
      <c r="C177" s="8"/>
      <c r="D177" s="8"/>
      <c r="E177" s="8"/>
      <c r="F177" s="8"/>
      <c r="G177" s="8"/>
      <c r="H177" s="8"/>
      <c r="I177" s="8"/>
      <c r="J177" s="8"/>
      <c r="K177" s="8"/>
      <c r="L177" s="94"/>
      <c r="M177" s="8"/>
      <c r="N177" s="8"/>
      <c r="O177" s="8"/>
      <c r="P177" s="8"/>
      <c r="Q177" s="8"/>
      <c r="R177" s="8"/>
      <c r="S177" s="8"/>
      <c r="T177" s="8"/>
      <c r="U177" s="8"/>
      <c r="V177" s="8"/>
      <c r="W177" s="8"/>
      <c r="X177" s="8"/>
      <c r="Y177" s="8"/>
      <c r="Z177" s="8"/>
    </row>
    <row r="178" spans="1:26" ht="12.75" customHeight="1" x14ac:dyDescent="0.25">
      <c r="A178" s="133"/>
      <c r="B178" s="8"/>
      <c r="C178" s="8"/>
      <c r="D178" s="8"/>
      <c r="E178" s="8"/>
      <c r="F178" s="8"/>
      <c r="G178" s="8"/>
      <c r="H178" s="8"/>
      <c r="I178" s="8"/>
      <c r="J178" s="8"/>
      <c r="K178" s="8"/>
      <c r="L178" s="94"/>
      <c r="M178" s="8"/>
      <c r="N178" s="8"/>
      <c r="O178" s="8"/>
      <c r="P178" s="8"/>
      <c r="Q178" s="8"/>
      <c r="R178" s="8"/>
      <c r="S178" s="8"/>
      <c r="T178" s="8"/>
      <c r="U178" s="8"/>
      <c r="V178" s="8"/>
      <c r="W178" s="8"/>
      <c r="X178" s="8"/>
      <c r="Y178" s="8"/>
      <c r="Z178" s="8"/>
    </row>
    <row r="179" spans="1:26" ht="12.75" customHeight="1" x14ac:dyDescent="0.25">
      <c r="A179" s="133"/>
      <c r="B179" s="8"/>
      <c r="C179" s="8"/>
      <c r="D179" s="8"/>
      <c r="E179" s="8"/>
      <c r="F179" s="8"/>
      <c r="G179" s="8"/>
      <c r="H179" s="8"/>
      <c r="I179" s="8"/>
      <c r="J179" s="8"/>
      <c r="K179" s="8"/>
      <c r="L179" s="94"/>
      <c r="M179" s="8"/>
      <c r="N179" s="8"/>
      <c r="O179" s="8"/>
      <c r="P179" s="8"/>
      <c r="Q179" s="8"/>
      <c r="R179" s="8"/>
      <c r="S179" s="8"/>
      <c r="T179" s="8"/>
      <c r="U179" s="8"/>
      <c r="V179" s="8"/>
      <c r="W179" s="8"/>
      <c r="X179" s="8"/>
      <c r="Y179" s="8"/>
      <c r="Z179" s="8"/>
    </row>
    <row r="180" spans="1:26" ht="12.75" customHeight="1" x14ac:dyDescent="0.25">
      <c r="A180" s="133"/>
      <c r="B180" s="8"/>
      <c r="C180" s="8"/>
      <c r="D180" s="8"/>
      <c r="E180" s="8"/>
      <c r="F180" s="8"/>
      <c r="G180" s="8"/>
      <c r="H180" s="8"/>
      <c r="I180" s="8"/>
      <c r="J180" s="8"/>
      <c r="K180" s="8"/>
      <c r="L180" s="94"/>
      <c r="M180" s="8"/>
      <c r="N180" s="8"/>
      <c r="O180" s="8"/>
      <c r="P180" s="8"/>
      <c r="Q180" s="8"/>
      <c r="R180" s="8"/>
      <c r="S180" s="8"/>
      <c r="T180" s="8"/>
      <c r="U180" s="8"/>
      <c r="V180" s="8"/>
      <c r="W180" s="8"/>
      <c r="X180" s="8"/>
      <c r="Y180" s="8"/>
      <c r="Z180" s="8"/>
    </row>
    <row r="181" spans="1:26" ht="12.75" customHeight="1" x14ac:dyDescent="0.25">
      <c r="A181" s="133"/>
      <c r="B181" s="8"/>
      <c r="C181" s="8"/>
      <c r="D181" s="8"/>
      <c r="E181" s="8"/>
      <c r="F181" s="8"/>
      <c r="G181" s="8"/>
      <c r="H181" s="8"/>
      <c r="I181" s="8"/>
      <c r="J181" s="8"/>
      <c r="K181" s="8"/>
      <c r="L181" s="94"/>
      <c r="M181" s="8"/>
      <c r="N181" s="8"/>
      <c r="O181" s="8"/>
      <c r="P181" s="8"/>
      <c r="Q181" s="8"/>
      <c r="R181" s="8"/>
      <c r="S181" s="8"/>
      <c r="T181" s="8"/>
      <c r="U181" s="8"/>
      <c r="V181" s="8"/>
      <c r="W181" s="8"/>
      <c r="X181" s="8"/>
      <c r="Y181" s="8"/>
      <c r="Z181" s="8"/>
    </row>
    <row r="182" spans="1:26" ht="12.75" customHeight="1" x14ac:dyDescent="0.25">
      <c r="A182" s="133"/>
      <c r="B182" s="8"/>
      <c r="C182" s="8"/>
      <c r="D182" s="8"/>
      <c r="E182" s="8"/>
      <c r="F182" s="8"/>
      <c r="G182" s="8"/>
      <c r="H182" s="8"/>
      <c r="I182" s="8"/>
      <c r="J182" s="8"/>
      <c r="K182" s="8"/>
      <c r="L182" s="94"/>
      <c r="M182" s="8"/>
      <c r="N182" s="8"/>
      <c r="O182" s="8"/>
      <c r="P182" s="8"/>
      <c r="Q182" s="8"/>
      <c r="R182" s="8"/>
      <c r="S182" s="8"/>
      <c r="T182" s="8"/>
      <c r="U182" s="8"/>
      <c r="V182" s="8"/>
      <c r="W182" s="8"/>
      <c r="X182" s="8"/>
      <c r="Y182" s="8"/>
      <c r="Z182" s="8"/>
    </row>
    <row r="183" spans="1:26" ht="12.75" customHeight="1" x14ac:dyDescent="0.25">
      <c r="A183" s="133"/>
      <c r="B183" s="8"/>
      <c r="C183" s="8"/>
      <c r="D183" s="8"/>
      <c r="E183" s="8"/>
      <c r="F183" s="8"/>
      <c r="G183" s="8"/>
      <c r="H183" s="8"/>
      <c r="I183" s="8"/>
      <c r="J183" s="8"/>
      <c r="K183" s="8"/>
      <c r="L183" s="94"/>
      <c r="M183" s="8"/>
      <c r="N183" s="8"/>
      <c r="O183" s="8"/>
      <c r="P183" s="8"/>
      <c r="Q183" s="8"/>
      <c r="R183" s="8"/>
      <c r="S183" s="8"/>
      <c r="T183" s="8"/>
      <c r="U183" s="8"/>
      <c r="V183" s="8"/>
      <c r="W183" s="8"/>
      <c r="X183" s="8"/>
      <c r="Y183" s="8"/>
      <c r="Z183" s="8"/>
    </row>
    <row r="184" spans="1:26" ht="12.75" customHeight="1" x14ac:dyDescent="0.25">
      <c r="A184" s="133"/>
      <c r="B184" s="8"/>
      <c r="C184" s="8"/>
      <c r="D184" s="8"/>
      <c r="E184" s="8"/>
      <c r="F184" s="8"/>
      <c r="G184" s="8"/>
      <c r="H184" s="8"/>
      <c r="I184" s="8"/>
      <c r="J184" s="8"/>
      <c r="K184" s="8"/>
      <c r="L184" s="94"/>
      <c r="M184" s="8"/>
      <c r="N184" s="8"/>
      <c r="O184" s="8"/>
      <c r="P184" s="8"/>
      <c r="Q184" s="8"/>
      <c r="R184" s="8"/>
      <c r="S184" s="8"/>
      <c r="T184" s="8"/>
      <c r="U184" s="8"/>
      <c r="V184" s="8"/>
      <c r="W184" s="8"/>
      <c r="X184" s="8"/>
      <c r="Y184" s="8"/>
      <c r="Z184" s="8"/>
    </row>
    <row r="185" spans="1:26" ht="12.75" customHeight="1" x14ac:dyDescent="0.25">
      <c r="A185" s="133"/>
      <c r="B185" s="8"/>
      <c r="C185" s="8"/>
      <c r="D185" s="8"/>
      <c r="E185" s="8"/>
      <c r="F185" s="8"/>
      <c r="G185" s="8"/>
      <c r="H185" s="8"/>
      <c r="I185" s="8"/>
      <c r="J185" s="8"/>
      <c r="K185" s="8"/>
      <c r="L185" s="94"/>
      <c r="M185" s="8"/>
      <c r="N185" s="8"/>
      <c r="O185" s="8"/>
      <c r="P185" s="8"/>
      <c r="Q185" s="8"/>
      <c r="R185" s="8"/>
      <c r="S185" s="8"/>
      <c r="T185" s="8"/>
      <c r="U185" s="8"/>
      <c r="V185" s="8"/>
      <c r="W185" s="8"/>
      <c r="X185" s="8"/>
      <c r="Y185" s="8"/>
      <c r="Z185" s="8"/>
    </row>
    <row r="186" spans="1:26" ht="12.75" customHeight="1" x14ac:dyDescent="0.25">
      <c r="A186" s="133"/>
      <c r="B186" s="8"/>
      <c r="C186" s="8"/>
      <c r="D186" s="8"/>
      <c r="E186" s="8"/>
      <c r="F186" s="8"/>
      <c r="G186" s="8"/>
      <c r="H186" s="8"/>
      <c r="I186" s="8"/>
      <c r="J186" s="8"/>
      <c r="K186" s="8"/>
      <c r="L186" s="94"/>
      <c r="M186" s="8"/>
      <c r="N186" s="8"/>
      <c r="O186" s="8"/>
      <c r="P186" s="8"/>
      <c r="Q186" s="8"/>
      <c r="R186" s="8"/>
      <c r="S186" s="8"/>
      <c r="T186" s="8"/>
      <c r="U186" s="8"/>
      <c r="V186" s="8"/>
      <c r="W186" s="8"/>
      <c r="X186" s="8"/>
      <c r="Y186" s="8"/>
      <c r="Z186" s="8"/>
    </row>
    <row r="187" spans="1:26" ht="12.75" customHeight="1" x14ac:dyDescent="0.25">
      <c r="A187" s="133"/>
      <c r="B187" s="8"/>
      <c r="C187" s="8"/>
      <c r="D187" s="8"/>
      <c r="E187" s="8"/>
      <c r="F187" s="8"/>
      <c r="G187" s="8"/>
      <c r="H187" s="8"/>
      <c r="I187" s="8"/>
      <c r="J187" s="8"/>
      <c r="K187" s="8"/>
      <c r="L187" s="94"/>
      <c r="M187" s="8"/>
      <c r="N187" s="8"/>
      <c r="O187" s="8"/>
      <c r="P187" s="8"/>
      <c r="Q187" s="8"/>
      <c r="R187" s="8"/>
      <c r="S187" s="8"/>
      <c r="T187" s="8"/>
      <c r="U187" s="8"/>
      <c r="V187" s="8"/>
      <c r="W187" s="8"/>
      <c r="X187" s="8"/>
      <c r="Y187" s="8"/>
      <c r="Z187" s="8"/>
    </row>
    <row r="188" spans="1:26" ht="12.75" customHeight="1" x14ac:dyDescent="0.25">
      <c r="A188" s="133"/>
      <c r="B188" s="8"/>
      <c r="C188" s="8"/>
      <c r="D188" s="8"/>
      <c r="E188" s="8"/>
      <c r="F188" s="8"/>
      <c r="G188" s="8"/>
      <c r="H188" s="8"/>
      <c r="I188" s="8"/>
      <c r="J188" s="8"/>
      <c r="K188" s="8"/>
      <c r="L188" s="94"/>
      <c r="M188" s="8"/>
      <c r="N188" s="8"/>
      <c r="O188" s="8"/>
      <c r="P188" s="8"/>
      <c r="Q188" s="8"/>
      <c r="R188" s="8"/>
      <c r="S188" s="8"/>
      <c r="T188" s="8"/>
      <c r="U188" s="8"/>
      <c r="V188" s="8"/>
      <c r="W188" s="8"/>
      <c r="X188" s="8"/>
      <c r="Y188" s="8"/>
      <c r="Z188" s="8"/>
    </row>
    <row r="189" spans="1:26" ht="12.75" customHeight="1" x14ac:dyDescent="0.25">
      <c r="A189" s="133"/>
      <c r="B189" s="8"/>
      <c r="C189" s="8"/>
      <c r="D189" s="8"/>
      <c r="E189" s="8"/>
      <c r="F189" s="8"/>
      <c r="G189" s="8"/>
      <c r="H189" s="8"/>
      <c r="I189" s="8"/>
      <c r="J189" s="8"/>
      <c r="K189" s="8"/>
      <c r="L189" s="94"/>
      <c r="M189" s="8"/>
      <c r="N189" s="8"/>
      <c r="O189" s="8"/>
      <c r="P189" s="8"/>
      <c r="Q189" s="8"/>
      <c r="R189" s="8"/>
      <c r="S189" s="8"/>
      <c r="T189" s="8"/>
      <c r="U189" s="8"/>
      <c r="V189" s="8"/>
      <c r="W189" s="8"/>
      <c r="X189" s="8"/>
      <c r="Y189" s="8"/>
      <c r="Z189" s="8"/>
    </row>
    <row r="190" spans="1:26" ht="12.75" customHeight="1" x14ac:dyDescent="0.25">
      <c r="A190" s="133"/>
      <c r="B190" s="8"/>
      <c r="C190" s="8"/>
      <c r="D190" s="8"/>
      <c r="E190" s="8"/>
      <c r="F190" s="8"/>
      <c r="G190" s="8"/>
      <c r="H190" s="8"/>
      <c r="I190" s="8"/>
      <c r="J190" s="8"/>
      <c r="K190" s="8"/>
      <c r="L190" s="94"/>
      <c r="M190" s="8"/>
      <c r="N190" s="8"/>
      <c r="O190" s="8"/>
      <c r="P190" s="8"/>
      <c r="Q190" s="8"/>
      <c r="R190" s="8"/>
      <c r="S190" s="8"/>
      <c r="T190" s="8"/>
      <c r="U190" s="8"/>
      <c r="V190" s="8"/>
      <c r="W190" s="8"/>
      <c r="X190" s="8"/>
      <c r="Y190" s="8"/>
      <c r="Z190" s="8"/>
    </row>
    <row r="191" spans="1:26" ht="12.75" customHeight="1" x14ac:dyDescent="0.25">
      <c r="A191" s="133"/>
      <c r="B191" s="8"/>
      <c r="C191" s="8"/>
      <c r="D191" s="8"/>
      <c r="E191" s="8"/>
      <c r="F191" s="8"/>
      <c r="G191" s="8"/>
      <c r="H191" s="8"/>
      <c r="I191" s="8"/>
      <c r="J191" s="8"/>
      <c r="K191" s="8"/>
      <c r="L191" s="94"/>
      <c r="M191" s="8"/>
      <c r="N191" s="8"/>
      <c r="O191" s="8"/>
      <c r="P191" s="8"/>
      <c r="Q191" s="8"/>
      <c r="R191" s="8"/>
      <c r="S191" s="8"/>
      <c r="T191" s="8"/>
      <c r="U191" s="8"/>
      <c r="V191" s="8"/>
      <c r="W191" s="8"/>
      <c r="X191" s="8"/>
      <c r="Y191" s="8"/>
      <c r="Z191" s="8"/>
    </row>
    <row r="192" spans="1:26" ht="12.75" customHeight="1" x14ac:dyDescent="0.25">
      <c r="A192" s="133"/>
      <c r="B192" s="8"/>
      <c r="C192" s="8"/>
      <c r="D192" s="8"/>
      <c r="E192" s="8"/>
      <c r="F192" s="8"/>
      <c r="G192" s="8"/>
      <c r="H192" s="8"/>
      <c r="I192" s="8"/>
      <c r="J192" s="8"/>
      <c r="K192" s="8"/>
      <c r="L192" s="94"/>
      <c r="M192" s="8"/>
      <c r="N192" s="8"/>
      <c r="O192" s="8"/>
      <c r="P192" s="8"/>
      <c r="Q192" s="8"/>
      <c r="R192" s="8"/>
      <c r="S192" s="8"/>
      <c r="T192" s="8"/>
      <c r="U192" s="8"/>
      <c r="V192" s="8"/>
      <c r="W192" s="8"/>
      <c r="X192" s="8"/>
      <c r="Y192" s="8"/>
      <c r="Z192" s="8"/>
    </row>
    <row r="193" spans="1:26" ht="12.75" customHeight="1" x14ac:dyDescent="0.25">
      <c r="A193" s="133"/>
      <c r="B193" s="8"/>
      <c r="C193" s="8"/>
      <c r="D193" s="8"/>
      <c r="E193" s="8"/>
      <c r="F193" s="8"/>
      <c r="G193" s="8"/>
      <c r="H193" s="8"/>
      <c r="I193" s="8"/>
      <c r="J193" s="8"/>
      <c r="K193" s="8"/>
      <c r="L193" s="94"/>
      <c r="M193" s="8"/>
      <c r="N193" s="8"/>
      <c r="O193" s="8"/>
      <c r="P193" s="8"/>
      <c r="Q193" s="8"/>
      <c r="R193" s="8"/>
      <c r="S193" s="8"/>
      <c r="T193" s="8"/>
      <c r="U193" s="8"/>
      <c r="V193" s="8"/>
      <c r="W193" s="8"/>
      <c r="X193" s="8"/>
      <c r="Y193" s="8"/>
      <c r="Z193" s="8"/>
    </row>
    <row r="194" spans="1:26" ht="12.75" customHeight="1" x14ac:dyDescent="0.25">
      <c r="A194" s="133"/>
      <c r="B194" s="8"/>
      <c r="C194" s="8"/>
      <c r="D194" s="8"/>
      <c r="E194" s="8"/>
      <c r="F194" s="8"/>
      <c r="G194" s="8"/>
      <c r="H194" s="8"/>
      <c r="I194" s="8"/>
      <c r="J194" s="8"/>
      <c r="K194" s="8"/>
      <c r="L194" s="94"/>
      <c r="M194" s="8"/>
      <c r="N194" s="8"/>
      <c r="O194" s="8"/>
      <c r="P194" s="8"/>
      <c r="Q194" s="8"/>
      <c r="R194" s="8"/>
      <c r="S194" s="8"/>
      <c r="T194" s="8"/>
      <c r="U194" s="8"/>
      <c r="V194" s="8"/>
      <c r="W194" s="8"/>
      <c r="X194" s="8"/>
      <c r="Y194" s="8"/>
      <c r="Z194" s="8"/>
    </row>
    <row r="195" spans="1:26" ht="12.75" customHeight="1" x14ac:dyDescent="0.25">
      <c r="A195" s="133"/>
      <c r="B195" s="8"/>
      <c r="C195" s="8"/>
      <c r="D195" s="8"/>
      <c r="E195" s="8"/>
      <c r="F195" s="8"/>
      <c r="G195" s="8"/>
      <c r="H195" s="8"/>
      <c r="I195" s="8"/>
      <c r="J195" s="8"/>
      <c r="K195" s="8"/>
      <c r="L195" s="94"/>
      <c r="M195" s="8"/>
      <c r="N195" s="8"/>
      <c r="O195" s="8"/>
      <c r="P195" s="8"/>
      <c r="Q195" s="8"/>
      <c r="R195" s="8"/>
      <c r="S195" s="8"/>
      <c r="T195" s="8"/>
      <c r="U195" s="8"/>
      <c r="V195" s="8"/>
      <c r="W195" s="8"/>
      <c r="X195" s="8"/>
      <c r="Y195" s="8"/>
      <c r="Z195" s="8"/>
    </row>
    <row r="196" spans="1:26" ht="12.75" customHeight="1" x14ac:dyDescent="0.25">
      <c r="A196" s="133"/>
      <c r="B196" s="8"/>
      <c r="C196" s="8"/>
      <c r="D196" s="8"/>
      <c r="E196" s="8"/>
      <c r="F196" s="8"/>
      <c r="G196" s="8"/>
      <c r="H196" s="8"/>
      <c r="I196" s="8"/>
      <c r="J196" s="8"/>
      <c r="K196" s="8"/>
      <c r="L196" s="94"/>
      <c r="M196" s="8"/>
      <c r="N196" s="8"/>
      <c r="O196" s="8"/>
      <c r="P196" s="8"/>
      <c r="Q196" s="8"/>
      <c r="R196" s="8"/>
      <c r="S196" s="8"/>
      <c r="T196" s="8"/>
      <c r="U196" s="8"/>
      <c r="V196" s="8"/>
      <c r="W196" s="8"/>
      <c r="X196" s="8"/>
      <c r="Y196" s="8"/>
      <c r="Z196" s="8"/>
    </row>
    <row r="197" spans="1:26" ht="12.75" customHeight="1" x14ac:dyDescent="0.25">
      <c r="A197" s="133"/>
      <c r="B197" s="8"/>
      <c r="C197" s="8"/>
      <c r="D197" s="8"/>
      <c r="E197" s="8"/>
      <c r="F197" s="8"/>
      <c r="G197" s="8"/>
      <c r="H197" s="8"/>
      <c r="I197" s="8"/>
      <c r="J197" s="8"/>
      <c r="K197" s="8"/>
      <c r="L197" s="94"/>
      <c r="M197" s="8"/>
      <c r="N197" s="8"/>
      <c r="O197" s="8"/>
      <c r="P197" s="8"/>
      <c r="Q197" s="8"/>
      <c r="R197" s="8"/>
      <c r="S197" s="8"/>
      <c r="T197" s="8"/>
      <c r="U197" s="8"/>
      <c r="V197" s="8"/>
      <c r="W197" s="8"/>
      <c r="X197" s="8"/>
      <c r="Y197" s="8"/>
      <c r="Z197" s="8"/>
    </row>
    <row r="198" spans="1:26" ht="12.75" customHeight="1" x14ac:dyDescent="0.25">
      <c r="A198" s="133"/>
      <c r="B198" s="8"/>
      <c r="C198" s="8"/>
      <c r="D198" s="8"/>
      <c r="E198" s="8"/>
      <c r="F198" s="8"/>
      <c r="G198" s="8"/>
      <c r="H198" s="8"/>
      <c r="I198" s="8"/>
      <c r="J198" s="8"/>
      <c r="K198" s="8"/>
      <c r="L198" s="94"/>
      <c r="M198" s="8"/>
      <c r="N198" s="8"/>
      <c r="O198" s="8"/>
      <c r="P198" s="8"/>
      <c r="Q198" s="8"/>
      <c r="R198" s="8"/>
      <c r="S198" s="8"/>
      <c r="T198" s="8"/>
      <c r="U198" s="8"/>
      <c r="V198" s="8"/>
      <c r="W198" s="8"/>
      <c r="X198" s="8"/>
      <c r="Y198" s="8"/>
      <c r="Z198" s="8"/>
    </row>
    <row r="199" spans="1:26" ht="12.75" customHeight="1" x14ac:dyDescent="0.25">
      <c r="A199" s="133"/>
      <c r="B199" s="8"/>
      <c r="C199" s="8"/>
      <c r="D199" s="8"/>
      <c r="E199" s="8"/>
      <c r="F199" s="8"/>
      <c r="G199" s="8"/>
      <c r="H199" s="8"/>
      <c r="I199" s="8"/>
      <c r="J199" s="8"/>
      <c r="K199" s="8"/>
      <c r="L199" s="94"/>
      <c r="M199" s="8"/>
      <c r="N199" s="8"/>
      <c r="O199" s="8"/>
      <c r="P199" s="8"/>
      <c r="Q199" s="8"/>
      <c r="R199" s="8"/>
      <c r="S199" s="8"/>
      <c r="T199" s="8"/>
      <c r="U199" s="8"/>
      <c r="V199" s="8"/>
      <c r="W199" s="8"/>
      <c r="X199" s="8"/>
      <c r="Y199" s="8"/>
      <c r="Z199" s="8"/>
    </row>
    <row r="200" spans="1:26" ht="12.75" customHeight="1" x14ac:dyDescent="0.25">
      <c r="A200" s="133"/>
      <c r="B200" s="8"/>
      <c r="C200" s="8"/>
      <c r="D200" s="8"/>
      <c r="E200" s="8"/>
      <c r="F200" s="8"/>
      <c r="G200" s="8"/>
      <c r="H200" s="8"/>
      <c r="I200" s="8"/>
      <c r="J200" s="8"/>
      <c r="K200" s="8"/>
      <c r="L200" s="94"/>
      <c r="M200" s="8"/>
      <c r="N200" s="8"/>
      <c r="O200" s="8"/>
      <c r="P200" s="8"/>
      <c r="Q200" s="8"/>
      <c r="R200" s="8"/>
      <c r="S200" s="8"/>
      <c r="T200" s="8"/>
      <c r="U200" s="8"/>
      <c r="V200" s="8"/>
      <c r="W200" s="8"/>
      <c r="X200" s="8"/>
      <c r="Y200" s="8"/>
      <c r="Z200" s="8"/>
    </row>
    <row r="201" spans="1:26" ht="12.75" customHeight="1" x14ac:dyDescent="0.25">
      <c r="A201" s="133"/>
      <c r="B201" s="8"/>
      <c r="C201" s="8"/>
      <c r="D201" s="8"/>
      <c r="E201" s="8"/>
      <c r="F201" s="8"/>
      <c r="G201" s="8"/>
      <c r="H201" s="8"/>
      <c r="I201" s="8"/>
      <c r="J201" s="8"/>
      <c r="K201" s="8"/>
      <c r="L201" s="94"/>
      <c r="M201" s="8"/>
      <c r="N201" s="8"/>
      <c r="O201" s="8"/>
      <c r="P201" s="8"/>
      <c r="Q201" s="8"/>
      <c r="R201" s="8"/>
      <c r="S201" s="8"/>
      <c r="T201" s="8"/>
      <c r="U201" s="8"/>
      <c r="V201" s="8"/>
      <c r="W201" s="8"/>
      <c r="X201" s="8"/>
      <c r="Y201" s="8"/>
      <c r="Z201" s="8"/>
    </row>
    <row r="202" spans="1:26" ht="12.75" customHeight="1" x14ac:dyDescent="0.25">
      <c r="A202" s="133"/>
      <c r="B202" s="8"/>
      <c r="C202" s="8"/>
      <c r="D202" s="8"/>
      <c r="E202" s="8"/>
      <c r="F202" s="8"/>
      <c r="G202" s="8"/>
      <c r="H202" s="8"/>
      <c r="I202" s="8"/>
      <c r="J202" s="8"/>
      <c r="K202" s="8"/>
      <c r="L202" s="94"/>
      <c r="M202" s="8"/>
      <c r="N202" s="8"/>
      <c r="O202" s="8"/>
      <c r="P202" s="8"/>
      <c r="Q202" s="8"/>
      <c r="R202" s="8"/>
      <c r="S202" s="8"/>
      <c r="T202" s="8"/>
      <c r="U202" s="8"/>
      <c r="V202" s="8"/>
      <c r="W202" s="8"/>
      <c r="X202" s="8"/>
      <c r="Y202" s="8"/>
      <c r="Z202" s="8"/>
    </row>
    <row r="203" spans="1:26" ht="12.75" customHeight="1" x14ac:dyDescent="0.25">
      <c r="A203" s="133"/>
      <c r="B203" s="8"/>
      <c r="C203" s="8"/>
      <c r="D203" s="8"/>
      <c r="E203" s="8"/>
      <c r="F203" s="8"/>
      <c r="G203" s="8"/>
      <c r="H203" s="8"/>
      <c r="I203" s="8"/>
      <c r="J203" s="8"/>
      <c r="K203" s="8"/>
      <c r="L203" s="94"/>
      <c r="M203" s="8"/>
      <c r="N203" s="8"/>
      <c r="O203" s="8"/>
      <c r="P203" s="8"/>
      <c r="Q203" s="8"/>
      <c r="R203" s="8"/>
      <c r="S203" s="8"/>
      <c r="T203" s="8"/>
      <c r="U203" s="8"/>
      <c r="V203" s="8"/>
      <c r="W203" s="8"/>
      <c r="X203" s="8"/>
      <c r="Y203" s="8"/>
      <c r="Z203" s="8"/>
    </row>
    <row r="204" spans="1:26" ht="12.75" customHeight="1" x14ac:dyDescent="0.25">
      <c r="A204" s="133"/>
      <c r="B204" s="8"/>
      <c r="C204" s="8"/>
      <c r="D204" s="8"/>
      <c r="E204" s="8"/>
      <c r="F204" s="8"/>
      <c r="G204" s="8"/>
      <c r="H204" s="8"/>
      <c r="I204" s="8"/>
      <c r="J204" s="8"/>
      <c r="K204" s="8"/>
      <c r="L204" s="94"/>
      <c r="M204" s="8"/>
      <c r="N204" s="8"/>
      <c r="O204" s="8"/>
      <c r="P204" s="8"/>
      <c r="Q204" s="8"/>
      <c r="R204" s="8"/>
      <c r="S204" s="8"/>
      <c r="T204" s="8"/>
      <c r="U204" s="8"/>
      <c r="V204" s="8"/>
      <c r="W204" s="8"/>
      <c r="X204" s="8"/>
      <c r="Y204" s="8"/>
      <c r="Z204" s="8"/>
    </row>
    <row r="205" spans="1:26" ht="12.75" customHeight="1" x14ac:dyDescent="0.25">
      <c r="A205" s="133"/>
      <c r="B205" s="8"/>
      <c r="C205" s="8"/>
      <c r="D205" s="8"/>
      <c r="E205" s="8"/>
      <c r="F205" s="8"/>
      <c r="G205" s="8"/>
      <c r="H205" s="8"/>
      <c r="I205" s="8"/>
      <c r="J205" s="8"/>
      <c r="K205" s="8"/>
      <c r="L205" s="94"/>
      <c r="M205" s="8"/>
      <c r="N205" s="8"/>
      <c r="O205" s="8"/>
      <c r="P205" s="8"/>
      <c r="Q205" s="8"/>
      <c r="R205" s="8"/>
      <c r="S205" s="8"/>
      <c r="T205" s="8"/>
      <c r="U205" s="8"/>
      <c r="V205" s="8"/>
      <c r="W205" s="8"/>
      <c r="X205" s="8"/>
      <c r="Y205" s="8"/>
      <c r="Z205" s="8"/>
    </row>
    <row r="206" spans="1:26" ht="12.75" customHeight="1" x14ac:dyDescent="0.25">
      <c r="A206" s="133"/>
      <c r="B206" s="8"/>
      <c r="C206" s="8"/>
      <c r="D206" s="8"/>
      <c r="E206" s="8"/>
      <c r="F206" s="8"/>
      <c r="G206" s="8"/>
      <c r="H206" s="8"/>
      <c r="I206" s="8"/>
      <c r="J206" s="8"/>
      <c r="K206" s="8"/>
      <c r="L206" s="94"/>
      <c r="M206" s="8"/>
      <c r="N206" s="8"/>
      <c r="O206" s="8"/>
      <c r="P206" s="8"/>
      <c r="Q206" s="8"/>
      <c r="R206" s="8"/>
      <c r="S206" s="8"/>
      <c r="T206" s="8"/>
      <c r="U206" s="8"/>
      <c r="V206" s="8"/>
      <c r="W206" s="8"/>
      <c r="X206" s="8"/>
      <c r="Y206" s="8"/>
      <c r="Z206" s="8"/>
    </row>
    <row r="207" spans="1:26" ht="12.75" customHeight="1" x14ac:dyDescent="0.25">
      <c r="A207" s="133"/>
      <c r="B207" s="8"/>
      <c r="C207" s="8"/>
      <c r="D207" s="8"/>
      <c r="E207" s="8"/>
      <c r="F207" s="8"/>
      <c r="G207" s="8"/>
      <c r="H207" s="8"/>
      <c r="I207" s="8"/>
      <c r="J207" s="8"/>
      <c r="K207" s="8"/>
      <c r="L207" s="94"/>
      <c r="M207" s="8"/>
      <c r="N207" s="8"/>
      <c r="O207" s="8"/>
      <c r="P207" s="8"/>
      <c r="Q207" s="8"/>
      <c r="R207" s="8"/>
      <c r="S207" s="8"/>
      <c r="T207" s="8"/>
      <c r="U207" s="8"/>
      <c r="V207" s="8"/>
      <c r="W207" s="8"/>
      <c r="X207" s="8"/>
      <c r="Y207" s="8"/>
      <c r="Z207" s="8"/>
    </row>
    <row r="208" spans="1:26" ht="12.75" customHeight="1" x14ac:dyDescent="0.25">
      <c r="A208" s="133"/>
      <c r="B208" s="8"/>
      <c r="C208" s="8"/>
      <c r="D208" s="8"/>
      <c r="E208" s="8"/>
      <c r="F208" s="8"/>
      <c r="G208" s="8"/>
      <c r="H208" s="8"/>
      <c r="I208" s="8"/>
      <c r="J208" s="8"/>
      <c r="K208" s="8"/>
      <c r="L208" s="94"/>
      <c r="M208" s="8"/>
      <c r="N208" s="8"/>
      <c r="O208" s="8"/>
      <c r="P208" s="8"/>
      <c r="Q208" s="8"/>
      <c r="R208" s="8"/>
      <c r="S208" s="8"/>
      <c r="T208" s="8"/>
      <c r="U208" s="8"/>
      <c r="V208" s="8"/>
      <c r="W208" s="8"/>
      <c r="X208" s="8"/>
      <c r="Y208" s="8"/>
      <c r="Z208" s="8"/>
    </row>
    <row r="209" spans="1:26" ht="12.75" customHeight="1" x14ac:dyDescent="0.25">
      <c r="A209" s="133"/>
      <c r="B209" s="8"/>
      <c r="C209" s="8"/>
      <c r="D209" s="8"/>
      <c r="E209" s="8"/>
      <c r="F209" s="8"/>
      <c r="G209" s="8"/>
      <c r="H209" s="8"/>
      <c r="I209" s="8"/>
      <c r="J209" s="8"/>
      <c r="K209" s="8"/>
      <c r="L209" s="94"/>
      <c r="M209" s="8"/>
      <c r="N209" s="8"/>
      <c r="O209" s="8"/>
      <c r="P209" s="8"/>
      <c r="Q209" s="8"/>
      <c r="R209" s="8"/>
      <c r="S209" s="8"/>
      <c r="T209" s="8"/>
      <c r="U209" s="8"/>
      <c r="V209" s="8"/>
      <c r="W209" s="8"/>
      <c r="X209" s="8"/>
      <c r="Y209" s="8"/>
      <c r="Z209" s="8"/>
    </row>
    <row r="210" spans="1:26" ht="12.75" customHeight="1" x14ac:dyDescent="0.25">
      <c r="A210" s="133"/>
      <c r="B210" s="8"/>
      <c r="C210" s="8"/>
      <c r="D210" s="8"/>
      <c r="E210" s="8"/>
      <c r="F210" s="8"/>
      <c r="G210" s="8"/>
      <c r="H210" s="8"/>
      <c r="I210" s="8"/>
      <c r="J210" s="8"/>
      <c r="K210" s="8"/>
      <c r="L210" s="94"/>
      <c r="M210" s="8"/>
      <c r="N210" s="8"/>
      <c r="O210" s="8"/>
      <c r="P210" s="8"/>
      <c r="Q210" s="8"/>
      <c r="R210" s="8"/>
      <c r="S210" s="8"/>
      <c r="T210" s="8"/>
      <c r="U210" s="8"/>
      <c r="V210" s="8"/>
      <c r="W210" s="8"/>
      <c r="X210" s="8"/>
      <c r="Y210" s="8"/>
      <c r="Z210" s="8"/>
    </row>
    <row r="211" spans="1:26" ht="12.75" customHeight="1" x14ac:dyDescent="0.25">
      <c r="A211" s="133"/>
      <c r="B211" s="8"/>
      <c r="C211" s="8"/>
      <c r="D211" s="8"/>
      <c r="E211" s="8"/>
      <c r="F211" s="8"/>
      <c r="G211" s="8"/>
      <c r="H211" s="8"/>
      <c r="I211" s="8"/>
      <c r="J211" s="8"/>
      <c r="K211" s="8"/>
      <c r="L211" s="94"/>
      <c r="M211" s="8"/>
      <c r="N211" s="8"/>
      <c r="O211" s="8"/>
      <c r="P211" s="8"/>
      <c r="Q211" s="8"/>
      <c r="R211" s="8"/>
      <c r="S211" s="8"/>
      <c r="T211" s="8"/>
      <c r="U211" s="8"/>
      <c r="V211" s="8"/>
      <c r="W211" s="8"/>
      <c r="X211" s="8"/>
      <c r="Y211" s="8"/>
      <c r="Z211" s="8"/>
    </row>
    <row r="212" spans="1:26" ht="12.75" customHeight="1" x14ac:dyDescent="0.25">
      <c r="A212" s="133"/>
      <c r="B212" s="8"/>
      <c r="C212" s="8"/>
      <c r="D212" s="8"/>
      <c r="E212" s="8"/>
      <c r="F212" s="8"/>
      <c r="G212" s="8"/>
      <c r="H212" s="8"/>
      <c r="I212" s="8"/>
      <c r="J212" s="8"/>
      <c r="K212" s="8"/>
      <c r="L212" s="94"/>
      <c r="M212" s="8"/>
      <c r="N212" s="8"/>
      <c r="O212" s="8"/>
      <c r="P212" s="8"/>
      <c r="Q212" s="8"/>
      <c r="R212" s="8"/>
      <c r="S212" s="8"/>
      <c r="T212" s="8"/>
      <c r="U212" s="8"/>
      <c r="V212" s="8"/>
      <c r="W212" s="8"/>
      <c r="X212" s="8"/>
      <c r="Y212" s="8"/>
      <c r="Z212" s="8"/>
    </row>
    <row r="213" spans="1:26" ht="12.75" customHeight="1" x14ac:dyDescent="0.25">
      <c r="A213" s="133"/>
      <c r="B213" s="8"/>
      <c r="C213" s="8"/>
      <c r="D213" s="8"/>
      <c r="E213" s="8"/>
      <c r="F213" s="8"/>
      <c r="G213" s="8"/>
      <c r="H213" s="8"/>
      <c r="I213" s="8"/>
      <c r="J213" s="8"/>
      <c r="K213" s="8"/>
      <c r="L213" s="94"/>
      <c r="M213" s="8"/>
      <c r="N213" s="8"/>
      <c r="O213" s="8"/>
      <c r="P213" s="8"/>
      <c r="Q213" s="8"/>
      <c r="R213" s="8"/>
      <c r="S213" s="8"/>
      <c r="T213" s="8"/>
      <c r="U213" s="8"/>
      <c r="V213" s="8"/>
      <c r="W213" s="8"/>
      <c r="X213" s="8"/>
      <c r="Y213" s="8"/>
      <c r="Z213" s="8"/>
    </row>
    <row r="214" spans="1:26" ht="12.75" customHeight="1" x14ac:dyDescent="0.25">
      <c r="A214" s="133"/>
      <c r="B214" s="8"/>
      <c r="C214" s="8"/>
      <c r="D214" s="8"/>
      <c r="E214" s="8"/>
      <c r="F214" s="8"/>
      <c r="G214" s="8"/>
      <c r="H214" s="8"/>
      <c r="I214" s="8"/>
      <c r="J214" s="8"/>
      <c r="K214" s="8"/>
      <c r="L214" s="94"/>
      <c r="M214" s="8"/>
      <c r="N214" s="8"/>
      <c r="O214" s="8"/>
      <c r="P214" s="8"/>
      <c r="Q214" s="8"/>
      <c r="R214" s="8"/>
      <c r="S214" s="8"/>
      <c r="T214" s="8"/>
      <c r="U214" s="8"/>
      <c r="V214" s="8"/>
      <c r="W214" s="8"/>
      <c r="X214" s="8"/>
      <c r="Y214" s="8"/>
      <c r="Z214" s="8"/>
    </row>
    <row r="215" spans="1:26" ht="12.75" customHeight="1" x14ac:dyDescent="0.25">
      <c r="A215" s="133"/>
      <c r="B215" s="8"/>
      <c r="C215" s="8"/>
      <c r="D215" s="8"/>
      <c r="E215" s="8"/>
      <c r="F215" s="8"/>
      <c r="G215" s="8"/>
      <c r="H215" s="8"/>
      <c r="I215" s="8"/>
      <c r="J215" s="8"/>
      <c r="K215" s="8"/>
      <c r="L215" s="94"/>
      <c r="M215" s="8"/>
      <c r="N215" s="8"/>
      <c r="O215" s="8"/>
      <c r="P215" s="8"/>
      <c r="Q215" s="8"/>
      <c r="R215" s="8"/>
      <c r="S215" s="8"/>
      <c r="T215" s="8"/>
      <c r="U215" s="8"/>
      <c r="V215" s="8"/>
      <c r="W215" s="8"/>
      <c r="X215" s="8"/>
      <c r="Y215" s="8"/>
      <c r="Z215" s="8"/>
    </row>
    <row r="216" spans="1:26" ht="12.75" customHeight="1" x14ac:dyDescent="0.25">
      <c r="A216" s="133"/>
      <c r="B216" s="8"/>
      <c r="C216" s="8"/>
      <c r="D216" s="8"/>
      <c r="E216" s="8"/>
      <c r="F216" s="8"/>
      <c r="G216" s="8"/>
      <c r="H216" s="8"/>
      <c r="I216" s="8"/>
      <c r="J216" s="8"/>
      <c r="K216" s="8"/>
      <c r="L216" s="94"/>
      <c r="M216" s="8"/>
      <c r="N216" s="8"/>
      <c r="O216" s="8"/>
      <c r="P216" s="8"/>
      <c r="Q216" s="8"/>
      <c r="R216" s="8"/>
      <c r="S216" s="8"/>
      <c r="T216" s="8"/>
      <c r="U216" s="8"/>
      <c r="V216" s="8"/>
      <c r="W216" s="8"/>
      <c r="X216" s="8"/>
      <c r="Y216" s="8"/>
      <c r="Z216" s="8"/>
    </row>
    <row r="217" spans="1:26" ht="12.75" customHeight="1" x14ac:dyDescent="0.25">
      <c r="A217" s="133"/>
      <c r="B217" s="8"/>
      <c r="C217" s="8"/>
      <c r="D217" s="8"/>
      <c r="E217" s="8"/>
      <c r="F217" s="8"/>
      <c r="G217" s="8"/>
      <c r="H217" s="8"/>
      <c r="I217" s="8"/>
      <c r="J217" s="8"/>
      <c r="K217" s="8"/>
      <c r="L217" s="94"/>
      <c r="M217" s="8"/>
      <c r="N217" s="8"/>
      <c r="O217" s="8"/>
      <c r="P217" s="8"/>
      <c r="Q217" s="8"/>
      <c r="R217" s="8"/>
      <c r="S217" s="8"/>
      <c r="T217" s="8"/>
      <c r="U217" s="8"/>
      <c r="V217" s="8"/>
      <c r="W217" s="8"/>
      <c r="X217" s="8"/>
      <c r="Y217" s="8"/>
      <c r="Z217" s="8"/>
    </row>
    <row r="218" spans="1:26" ht="12.75" customHeight="1" x14ac:dyDescent="0.25">
      <c r="A218" s="133"/>
      <c r="B218" s="8"/>
      <c r="C218" s="8"/>
      <c r="D218" s="8"/>
      <c r="E218" s="8"/>
      <c r="F218" s="8"/>
      <c r="G218" s="8"/>
      <c r="H218" s="8"/>
      <c r="I218" s="8"/>
      <c r="J218" s="8"/>
      <c r="K218" s="8"/>
      <c r="L218" s="94"/>
      <c r="M218" s="8"/>
      <c r="N218" s="8"/>
      <c r="O218" s="8"/>
      <c r="P218" s="8"/>
      <c r="Q218" s="8"/>
      <c r="R218" s="8"/>
      <c r="S218" s="8"/>
      <c r="T218" s="8"/>
      <c r="U218" s="8"/>
      <c r="V218" s="8"/>
      <c r="W218" s="8"/>
      <c r="X218" s="8"/>
      <c r="Y218" s="8"/>
      <c r="Z218" s="8"/>
    </row>
    <row r="219" spans="1:26" ht="12.75" customHeight="1" x14ac:dyDescent="0.25">
      <c r="A219" s="133"/>
      <c r="B219" s="8"/>
      <c r="C219" s="8"/>
      <c r="D219" s="8"/>
      <c r="E219" s="8"/>
      <c r="F219" s="8"/>
      <c r="G219" s="8"/>
      <c r="H219" s="8"/>
      <c r="I219" s="8"/>
      <c r="J219" s="8"/>
      <c r="K219" s="8"/>
      <c r="L219" s="94"/>
      <c r="M219" s="8"/>
      <c r="N219" s="8"/>
      <c r="O219" s="8"/>
      <c r="P219" s="8"/>
      <c r="Q219" s="8"/>
      <c r="R219" s="8"/>
      <c r="S219" s="8"/>
      <c r="T219" s="8"/>
      <c r="U219" s="8"/>
      <c r="V219" s="8"/>
      <c r="W219" s="8"/>
      <c r="X219" s="8"/>
      <c r="Y219" s="8"/>
      <c r="Z219" s="8"/>
    </row>
    <row r="220" spans="1:26" ht="15.75" customHeight="1" x14ac:dyDescent="0.2"/>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1">
    <mergeCell ref="B3:E3"/>
  </mergeCells>
  <conditionalFormatting sqref="I9:I17">
    <cfRule type="containsText" dxfId="61" priority="23" operator="containsText" text="&quot;Pass&quot;">
      <formula>NOT(ISERROR(SEARCH(("""Pass"""),(I9))))</formula>
    </cfRule>
    <cfRule type="containsText" dxfId="60" priority="24" operator="containsText" text="&quot;N/A&quot;">
      <formula>NOT(ISERROR(SEARCH(("""N/A"""),(I9))))</formula>
    </cfRule>
    <cfRule type="containsText" dxfId="59" priority="25" operator="containsText" text="&quot;Fail&quot;">
      <formula>NOT(ISERROR(SEARCH(("""Fail"""),(I9))))</formula>
    </cfRule>
    <cfRule type="containsText" dxfId="58" priority="26" operator="containsText" text="&quot;Pass&quot;">
      <formula>NOT(ISERROR(SEARCH(("""Pass"""),(I9))))</formula>
    </cfRule>
    <cfRule type="containsText" dxfId="57" priority="27" operator="containsText" text="&quot;Pass&quot;">
      <formula>NOT(ISERROR(SEARCH(("""Pass"""),(I9))))</formula>
    </cfRule>
    <cfRule type="containsText" dxfId="56" priority="28" operator="containsText" text="&quot;N/A&quot;">
      <formula>NOT(ISERROR(SEARCH(("""N/A"""),(I9))))</formula>
    </cfRule>
    <cfRule type="containsText" dxfId="55" priority="29" operator="containsText" text="&quot;Fail&quot;">
      <formula>NOT(ISERROR(SEARCH(("""Fail"""),(I9))))</formula>
    </cfRule>
    <cfRule type="containsText" dxfId="54" priority="30" operator="containsText" text="&quot;Pass&quot;">
      <formula>NOT(ISERROR(SEARCH(("""Pass"""),(I9))))</formula>
    </cfRule>
    <cfRule type="containsText" dxfId="53" priority="31" operator="containsText" text="Pass">
      <formula>NOT(ISERROR(SEARCH(("Pass"),(I9))))</formula>
    </cfRule>
    <cfRule type="containsText" dxfId="52" priority="32" operator="containsText" text="Fail">
      <formula>NOT(ISERROR(SEARCH(("Fail"),(I9))))</formula>
    </cfRule>
    <cfRule type="containsText" dxfId="51" priority="33" operator="containsText" text="Untested">
      <formula>NOT(ISERROR(SEARCH(("Untested"),(I9))))</formula>
    </cfRule>
  </conditionalFormatting>
  <conditionalFormatting sqref="I19">
    <cfRule type="containsText" dxfId="50" priority="2" operator="containsText" text="&quot;N/A&quot;">
      <formula>NOT(ISERROR(SEARCH(("""N/A"""),(I19))))</formula>
    </cfRule>
    <cfRule type="containsText" dxfId="49" priority="3" operator="containsText" text="&quot;Fail&quot;">
      <formula>NOT(ISERROR(SEARCH(("""Fail"""),(I19))))</formula>
    </cfRule>
    <cfRule type="containsText" dxfId="48" priority="4" operator="containsText" text="&quot;Pass&quot;">
      <formula>NOT(ISERROR(SEARCH(("""Pass"""),(I19))))</formula>
    </cfRule>
    <cfRule type="containsText" dxfId="47" priority="5" operator="containsText" text="&quot;Pass&quot;">
      <formula>NOT(ISERROR(SEARCH(("""Pass"""),(I19))))</formula>
    </cfRule>
    <cfRule type="containsText" dxfId="46" priority="9" operator="containsText" text="Pass">
      <formula>NOT(ISERROR(SEARCH(("Pass"),(I19))))</formula>
    </cfRule>
    <cfRule type="containsText" dxfId="45" priority="10" operator="containsText" text="Fail">
      <formula>NOT(ISERROR(SEARCH(("Fail"),(I19))))</formula>
    </cfRule>
    <cfRule type="containsText" dxfId="44" priority="11" operator="containsText" text="Untested">
      <formula>NOT(ISERROR(SEARCH(("Untested"),(I19))))</formula>
    </cfRule>
  </conditionalFormatting>
  <conditionalFormatting sqref="I19:I24">
    <cfRule type="containsText" dxfId="43" priority="1" operator="containsText" text="&quot;Pass&quot;">
      <formula>NOT(ISERROR(SEARCH(("""Pass"""),(I19))))</formula>
    </cfRule>
    <cfRule type="containsText" dxfId="42" priority="6" operator="containsText" text="&quot;N/A&quot;">
      <formula>NOT(ISERROR(SEARCH(("""N/A"""),(I19))))</formula>
    </cfRule>
    <cfRule type="containsText" dxfId="41" priority="7" operator="containsText" text="&quot;Fail&quot;">
      <formula>NOT(ISERROR(SEARCH(("""Fail"""),(I19))))</formula>
    </cfRule>
    <cfRule type="containsText" dxfId="40" priority="8" operator="containsText" text="&quot;Pass&quot;">
      <formula>NOT(ISERROR(SEARCH(("""Pass"""),(I19))))</formula>
    </cfRule>
  </conditionalFormatting>
  <conditionalFormatting sqref="I20:I24">
    <cfRule type="containsText" dxfId="39" priority="16" operator="containsText" text="&quot;Pass&quot;">
      <formula>NOT(ISERROR(SEARCH(("""Pass"""),(I20))))</formula>
    </cfRule>
    <cfRule type="containsText" dxfId="38" priority="17" operator="containsText" text="&quot;N/A&quot;">
      <formula>NOT(ISERROR(SEARCH(("""N/A"""),(I20))))</formula>
    </cfRule>
    <cfRule type="containsText" dxfId="37" priority="18" operator="containsText" text="&quot;Fail&quot;">
      <formula>NOT(ISERROR(SEARCH(("""Fail"""),(I20))))</formula>
    </cfRule>
    <cfRule type="containsText" dxfId="36" priority="19" operator="containsText" text="&quot;Pass&quot;">
      <formula>NOT(ISERROR(SEARCH(("""Pass"""),(I20))))</formula>
    </cfRule>
    <cfRule type="containsText" dxfId="35" priority="20" operator="containsText" text="Pass">
      <formula>NOT(ISERROR(SEARCH(("Pass"),(I20))))</formula>
    </cfRule>
    <cfRule type="containsText" dxfId="34" priority="21" operator="containsText" text="Fail">
      <formula>NOT(ISERROR(SEARCH(("Fail"),(I20))))</formula>
    </cfRule>
    <cfRule type="containsText" dxfId="33" priority="22" operator="containsText" text="Untested">
      <formula>NOT(ISERROR(SEARCH(("Untested"),(I20))))</formula>
    </cfRule>
  </conditionalFormatting>
  <dataValidations count="2">
    <dataValidation type="list" allowBlank="1" showInputMessage="1" showErrorMessage="1" prompt=" - " sqref="I1:I3 I7:I8 I18 I25:I141" xr:uid="{58C7F39E-3593-4142-B33E-7A3C671F5D8C}">
      <formula1>$M$2:$M$6</formula1>
    </dataValidation>
    <dataValidation type="list" allowBlank="1" showInputMessage="1" showErrorMessage="1" prompt=" - " sqref="I9:I17 I19:I24" xr:uid="{856FEB3E-E137-4117-9E97-DCB7E6B3B314}">
      <formula1>"Pass,Fail,Untested,N/A"</formula1>
    </dataValidation>
  </dataValidations>
  <pageMargins left="0.7" right="0.7" top="0.75" bottom="0.75" header="0" footer="0"/>
  <pageSetup orientation="landscape" r:id="rId1"/>
  <headerFooter>
    <oddHeader>&amp;LFacilitate_Test Case\Company&amp;Rv1.0</oddHeader>
    <oddFooter>&amp;L 02ae-BM/PM/HDCV/FSOFT v2/0&amp;CInternal use&amp;R&amp;P/</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62C6D-5201-46A5-B067-ED4A146582C0}">
  <dimension ref="A1:Z998"/>
  <sheetViews>
    <sheetView zoomScale="86" workbookViewId="0">
      <pane ySplit="8" topLeftCell="A15" activePane="bottomLeft" state="frozen"/>
      <selection pane="bottomLeft" activeCell="I17" sqref="I17"/>
    </sheetView>
  </sheetViews>
  <sheetFormatPr defaultColWidth="12.6640625" defaultRowHeight="15" customHeight="1" x14ac:dyDescent="0.2"/>
  <cols>
    <col min="1" max="1" width="14.33203125" style="134" customWidth="1"/>
    <col min="2" max="5" width="20.33203125" customWidth="1"/>
    <col min="6" max="7" width="25" customWidth="1"/>
    <col min="8" max="8" width="30.109375" customWidth="1"/>
    <col min="9" max="9" width="15.109375" customWidth="1"/>
    <col min="10" max="10" width="16.33203125" customWidth="1"/>
    <col min="11" max="11" width="15.88671875" customWidth="1"/>
    <col min="12" max="12" width="8.109375" customWidth="1"/>
    <col min="13" max="13" width="5.44140625" hidden="1" customWidth="1"/>
    <col min="14" max="26" width="10" customWidth="1"/>
  </cols>
  <sheetData>
    <row r="1" spans="1:26" ht="13.5" customHeight="1" thickBot="1" x14ac:dyDescent="0.3">
      <c r="A1" s="124"/>
      <c r="B1" s="55"/>
      <c r="C1" s="55"/>
      <c r="D1" s="56"/>
      <c r="E1" s="56"/>
      <c r="F1" s="56"/>
      <c r="G1" s="56"/>
      <c r="H1" s="56"/>
      <c r="I1" s="36"/>
      <c r="J1" s="57"/>
      <c r="K1" s="36"/>
      <c r="L1" s="58"/>
      <c r="M1" s="59"/>
      <c r="N1" s="59"/>
      <c r="O1" s="59"/>
      <c r="P1" s="59"/>
      <c r="Q1" s="59"/>
      <c r="R1" s="59"/>
      <c r="S1" s="59"/>
      <c r="T1" s="59"/>
      <c r="U1" s="59"/>
      <c r="V1" s="59"/>
      <c r="W1" s="59"/>
      <c r="X1" s="59"/>
      <c r="Y1" s="59"/>
      <c r="Z1" s="59"/>
    </row>
    <row r="2" spans="1:26" ht="28.5" customHeight="1" x14ac:dyDescent="0.25">
      <c r="A2" s="125" t="s">
        <v>31</v>
      </c>
      <c r="B2" s="61" t="s">
        <v>258</v>
      </c>
      <c r="C2" s="62"/>
      <c r="D2" s="63"/>
      <c r="E2" s="64"/>
      <c r="F2" s="65"/>
      <c r="G2" s="66"/>
      <c r="H2" s="67"/>
      <c r="I2" s="67"/>
      <c r="J2" s="36"/>
      <c r="K2" s="36"/>
      <c r="L2" s="58"/>
      <c r="M2" s="59" t="s">
        <v>32</v>
      </c>
      <c r="N2" s="59"/>
      <c r="O2" s="59"/>
      <c r="P2" s="59"/>
      <c r="Q2" s="59"/>
      <c r="R2" s="59"/>
      <c r="S2" s="59"/>
      <c r="T2" s="59"/>
      <c r="U2" s="59"/>
      <c r="V2" s="59"/>
      <c r="W2" s="59"/>
      <c r="X2" s="59"/>
      <c r="Y2" s="59"/>
      <c r="Z2" s="59"/>
    </row>
    <row r="3" spans="1:26" ht="25.2" customHeight="1" x14ac:dyDescent="0.25">
      <c r="A3" s="126" t="s">
        <v>33</v>
      </c>
      <c r="B3" s="235" t="s">
        <v>545</v>
      </c>
      <c r="C3" s="236"/>
      <c r="D3" s="236"/>
      <c r="E3" s="237"/>
      <c r="F3" s="65"/>
      <c r="G3" s="66"/>
      <c r="H3" s="67"/>
      <c r="I3" s="67"/>
      <c r="J3" s="36"/>
      <c r="K3" s="36"/>
      <c r="L3" s="58"/>
      <c r="M3" s="59" t="s">
        <v>34</v>
      </c>
      <c r="N3" s="59"/>
      <c r="O3" s="59"/>
      <c r="P3" s="59"/>
      <c r="Q3" s="59"/>
      <c r="R3" s="59"/>
      <c r="S3" s="59"/>
      <c r="T3" s="59"/>
      <c r="U3" s="59"/>
      <c r="V3" s="59"/>
      <c r="W3" s="59"/>
      <c r="X3" s="59"/>
      <c r="Y3" s="59"/>
      <c r="Z3" s="59"/>
    </row>
    <row r="4" spans="1:26" ht="23.4" customHeight="1" x14ac:dyDescent="0.25">
      <c r="A4" s="127" t="s">
        <v>35</v>
      </c>
      <c r="B4" s="70" t="s">
        <v>525</v>
      </c>
      <c r="C4" s="71"/>
      <c r="D4" s="71"/>
      <c r="E4" s="72"/>
      <c r="F4" s="67"/>
      <c r="G4" s="73"/>
      <c r="H4" s="67"/>
      <c r="I4" s="67"/>
      <c r="J4" s="36"/>
      <c r="K4" s="36"/>
      <c r="L4" s="58"/>
      <c r="M4" s="74"/>
      <c r="N4" s="59"/>
      <c r="O4" s="59"/>
      <c r="P4" s="59"/>
      <c r="Q4" s="59"/>
      <c r="R4" s="59"/>
      <c r="S4" s="59"/>
      <c r="T4" s="59"/>
      <c r="U4" s="59"/>
      <c r="V4" s="59"/>
      <c r="W4" s="59"/>
      <c r="X4" s="59"/>
      <c r="Y4" s="59"/>
      <c r="Z4" s="59"/>
    </row>
    <row r="5" spans="1:26" ht="34.200000000000003" customHeight="1" x14ac:dyDescent="0.25">
      <c r="A5" s="128" t="s">
        <v>32</v>
      </c>
      <c r="B5" s="76" t="s">
        <v>34</v>
      </c>
      <c r="C5" s="76" t="s">
        <v>36</v>
      </c>
      <c r="D5" s="76" t="s">
        <v>37</v>
      </c>
      <c r="E5" s="77" t="s">
        <v>38</v>
      </c>
      <c r="F5" s="59"/>
      <c r="G5" s="78"/>
      <c r="H5" s="78"/>
      <c r="I5" s="78"/>
      <c r="J5" s="79"/>
      <c r="K5" s="79"/>
      <c r="L5" s="80"/>
      <c r="M5" s="59" t="s">
        <v>36</v>
      </c>
      <c r="N5" s="59"/>
      <c r="O5" s="59"/>
      <c r="P5" s="59"/>
      <c r="Q5" s="59"/>
      <c r="R5" s="59"/>
      <c r="S5" s="59"/>
      <c r="T5" s="59"/>
      <c r="U5" s="59"/>
      <c r="V5" s="59"/>
      <c r="W5" s="59"/>
      <c r="X5" s="59"/>
      <c r="Y5" s="59"/>
      <c r="Z5" s="59"/>
    </row>
    <row r="6" spans="1:26" ht="27.6" customHeight="1" thickBot="1" x14ac:dyDescent="0.3">
      <c r="A6" s="129">
        <f>COUNTIF(I9:I993,"Pass")</f>
        <v>7</v>
      </c>
      <c r="B6" s="82">
        <f>COUNTIF(I9:I993,"Fail")</f>
        <v>0</v>
      </c>
      <c r="C6" s="82">
        <f>E6-D6-A6-B6</f>
        <v>2</v>
      </c>
      <c r="D6" s="83">
        <f>COUNTIF(H$9:I$993,"N/A")</f>
        <v>0</v>
      </c>
      <c r="E6" s="84">
        <f>COUNTA(A9:A997)</f>
        <v>9</v>
      </c>
      <c r="F6" s="59"/>
      <c r="G6" s="85"/>
      <c r="H6" s="85"/>
      <c r="I6" s="86"/>
      <c r="J6" s="79"/>
      <c r="K6" s="79"/>
      <c r="L6" s="80"/>
      <c r="M6" s="59" t="s">
        <v>37</v>
      </c>
      <c r="N6" s="59"/>
      <c r="O6" s="59"/>
      <c r="P6" s="59"/>
      <c r="Q6" s="59"/>
      <c r="R6" s="59"/>
      <c r="S6" s="59"/>
      <c r="T6" s="59"/>
      <c r="U6" s="59"/>
      <c r="V6" s="59"/>
      <c r="W6" s="59"/>
      <c r="X6" s="59"/>
      <c r="Y6" s="59"/>
      <c r="Z6" s="59"/>
    </row>
    <row r="7" spans="1:26" ht="10.8" customHeight="1" x14ac:dyDescent="0.25">
      <c r="A7" s="130"/>
      <c r="B7" s="59"/>
      <c r="C7" s="59"/>
      <c r="D7" s="59"/>
      <c r="E7" s="59"/>
      <c r="F7" s="59"/>
      <c r="G7" s="59"/>
      <c r="H7" s="87"/>
      <c r="I7" s="79"/>
      <c r="J7" s="79"/>
      <c r="K7" s="79"/>
      <c r="L7" s="80"/>
      <c r="M7" s="59"/>
      <c r="N7" s="59"/>
      <c r="O7" s="59"/>
      <c r="P7" s="59"/>
      <c r="Q7" s="59"/>
      <c r="R7" s="59"/>
      <c r="S7" s="59"/>
      <c r="T7" s="59"/>
      <c r="U7" s="59"/>
      <c r="V7" s="59"/>
      <c r="W7" s="59"/>
      <c r="X7" s="59"/>
      <c r="Y7" s="59"/>
      <c r="Z7" s="59"/>
    </row>
    <row r="8" spans="1:26" ht="25.8" customHeight="1" x14ac:dyDescent="0.25">
      <c r="A8" s="131" t="s">
        <v>40</v>
      </c>
      <c r="B8" s="88" t="s">
        <v>41</v>
      </c>
      <c r="C8" s="88" t="s">
        <v>42</v>
      </c>
      <c r="D8" s="88" t="s">
        <v>43</v>
      </c>
      <c r="E8" s="88" t="s">
        <v>44</v>
      </c>
      <c r="F8" s="88" t="s">
        <v>45</v>
      </c>
      <c r="G8" s="88" t="s">
        <v>46</v>
      </c>
      <c r="H8" s="88" t="s">
        <v>47</v>
      </c>
      <c r="I8" s="89" t="s">
        <v>48</v>
      </c>
      <c r="J8" s="89" t="s">
        <v>49</v>
      </c>
      <c r="K8" s="88" t="s">
        <v>50</v>
      </c>
      <c r="L8" s="90"/>
      <c r="M8" s="59"/>
      <c r="N8" s="59"/>
      <c r="O8" s="59"/>
      <c r="P8" s="59"/>
      <c r="Q8" s="59"/>
      <c r="R8" s="59"/>
      <c r="S8" s="59"/>
      <c r="T8" s="59"/>
      <c r="U8" s="59"/>
      <c r="V8" s="59"/>
      <c r="W8" s="59"/>
      <c r="X8" s="59"/>
      <c r="Y8" s="59"/>
      <c r="Z8" s="59"/>
    </row>
    <row r="9" spans="1:26" ht="87" customHeight="1" x14ac:dyDescent="0.25">
      <c r="A9" s="132" t="str">
        <f t="shared" ref="A9:A17" si="0">$B$2&amp;"-"&amp;ROW()-8</f>
        <v>Xem danh mục sản phẩm-1</v>
      </c>
      <c r="B9" s="91" t="s">
        <v>59</v>
      </c>
      <c r="C9" s="91"/>
      <c r="D9" s="135" t="s">
        <v>115</v>
      </c>
      <c r="E9" s="91" t="s">
        <v>122</v>
      </c>
      <c r="F9" s="91" t="s">
        <v>546</v>
      </c>
      <c r="G9" s="91"/>
      <c r="H9" s="93" t="s">
        <v>547</v>
      </c>
      <c r="I9" s="91" t="s">
        <v>32</v>
      </c>
      <c r="J9" s="91"/>
      <c r="K9" s="91"/>
      <c r="L9" s="92"/>
      <c r="M9" s="8"/>
      <c r="N9" s="8"/>
      <c r="O9" s="8"/>
      <c r="P9" s="8"/>
      <c r="Q9" s="8"/>
      <c r="R9" s="8"/>
      <c r="S9" s="8"/>
      <c r="T9" s="8"/>
      <c r="U9" s="8"/>
      <c r="V9" s="8"/>
      <c r="W9" s="8"/>
      <c r="X9" s="8"/>
      <c r="Y9" s="8"/>
      <c r="Z9" s="8"/>
    </row>
    <row r="10" spans="1:26" ht="69.599999999999994" customHeight="1" x14ac:dyDescent="0.25">
      <c r="A10" s="132" t="str">
        <f t="shared" si="0"/>
        <v>Xem danh mục sản phẩm-2</v>
      </c>
      <c r="B10" s="91"/>
      <c r="C10" s="91"/>
      <c r="D10" s="135" t="s">
        <v>116</v>
      </c>
      <c r="E10" s="91" t="s">
        <v>123</v>
      </c>
      <c r="F10" s="91" t="s">
        <v>259</v>
      </c>
      <c r="G10" s="148" t="s">
        <v>499</v>
      </c>
      <c r="H10" s="93" t="s">
        <v>436</v>
      </c>
      <c r="I10" s="91" t="s">
        <v>32</v>
      </c>
      <c r="J10" s="91"/>
      <c r="K10" s="91"/>
      <c r="L10" s="120"/>
      <c r="M10" s="121"/>
      <c r="N10" s="121"/>
      <c r="O10" s="121"/>
      <c r="P10" s="121"/>
      <c r="Q10" s="121"/>
      <c r="R10" s="121"/>
      <c r="S10" s="121"/>
      <c r="T10" s="121"/>
      <c r="U10" s="121"/>
      <c r="V10" s="121"/>
      <c r="W10" s="121"/>
      <c r="X10" s="121"/>
      <c r="Y10" s="121"/>
      <c r="Z10" s="121"/>
    </row>
    <row r="11" spans="1:26" ht="55.05" customHeight="1" x14ac:dyDescent="0.25">
      <c r="A11" s="132" t="str">
        <f t="shared" si="0"/>
        <v>Xem danh mục sản phẩm-3</v>
      </c>
      <c r="B11" s="91" t="s">
        <v>60</v>
      </c>
      <c r="C11" s="91"/>
      <c r="D11" s="91" t="s">
        <v>64</v>
      </c>
      <c r="E11" s="91"/>
      <c r="F11" s="91" t="s">
        <v>65</v>
      </c>
      <c r="G11" s="91"/>
      <c r="H11" s="91" t="s">
        <v>668</v>
      </c>
      <c r="I11" s="91" t="s">
        <v>32</v>
      </c>
      <c r="J11" s="91"/>
      <c r="K11" s="91"/>
      <c r="L11" s="92"/>
      <c r="M11" s="8"/>
      <c r="N11" s="8"/>
      <c r="O11" s="8"/>
      <c r="P11" s="8"/>
      <c r="Q11" s="8"/>
      <c r="R11" s="8"/>
      <c r="S11" s="8"/>
      <c r="T11" s="8"/>
      <c r="U11" s="8"/>
      <c r="V11" s="8"/>
      <c r="W11" s="8"/>
      <c r="X11" s="8"/>
      <c r="Y11" s="8"/>
      <c r="Z11" s="8"/>
    </row>
    <row r="12" spans="1:26" ht="55.05" customHeight="1" x14ac:dyDescent="0.25">
      <c r="A12" s="132" t="str">
        <f t="shared" si="0"/>
        <v>Xem danh mục sản phẩm-4</v>
      </c>
      <c r="B12" s="91"/>
      <c r="C12" s="91"/>
      <c r="D12" s="91" t="s">
        <v>67</v>
      </c>
      <c r="E12" s="91"/>
      <c r="F12" s="135" t="s">
        <v>153</v>
      </c>
      <c r="G12" s="91"/>
      <c r="H12" s="135" t="s">
        <v>321</v>
      </c>
      <c r="I12" s="91" t="s">
        <v>32</v>
      </c>
      <c r="J12" s="91"/>
      <c r="K12" s="91"/>
      <c r="L12" s="120"/>
      <c r="M12" s="121"/>
      <c r="N12" s="121"/>
      <c r="O12" s="121"/>
      <c r="P12" s="121"/>
      <c r="Q12" s="121"/>
      <c r="R12" s="121"/>
      <c r="S12" s="121"/>
      <c r="T12" s="121"/>
      <c r="U12" s="121"/>
      <c r="V12" s="121"/>
      <c r="W12" s="121"/>
      <c r="X12" s="121"/>
      <c r="Y12" s="121"/>
      <c r="Z12" s="121"/>
    </row>
    <row r="13" spans="1:26" ht="55.05" customHeight="1" x14ac:dyDescent="0.25">
      <c r="A13" s="132" t="str">
        <f t="shared" si="0"/>
        <v>Xem danh mục sản phẩm-5</v>
      </c>
      <c r="B13" s="91"/>
      <c r="C13" s="91"/>
      <c r="D13" s="91" t="s">
        <v>68</v>
      </c>
      <c r="E13" s="91"/>
      <c r="F13" s="135" t="s">
        <v>155</v>
      </c>
      <c r="G13" s="91"/>
      <c r="H13" s="135" t="s">
        <v>305</v>
      </c>
      <c r="I13" s="91" t="s">
        <v>32</v>
      </c>
      <c r="J13" s="91"/>
      <c r="K13" s="91"/>
      <c r="L13" s="120"/>
      <c r="M13" s="121"/>
      <c r="N13" s="121"/>
      <c r="O13" s="121"/>
      <c r="P13" s="121"/>
      <c r="Q13" s="121"/>
      <c r="R13" s="121"/>
      <c r="S13" s="121"/>
      <c r="T13" s="121"/>
      <c r="U13" s="121"/>
      <c r="V13" s="121"/>
      <c r="W13" s="121"/>
      <c r="X13" s="121"/>
      <c r="Y13" s="121"/>
      <c r="Z13" s="121"/>
    </row>
    <row r="14" spans="1:26" ht="55.05" customHeight="1" x14ac:dyDescent="0.25">
      <c r="A14" s="132" t="str">
        <f t="shared" si="0"/>
        <v>Xem danh mục sản phẩm-6</v>
      </c>
      <c r="B14" s="122"/>
      <c r="C14" s="91"/>
      <c r="D14" s="91" t="s">
        <v>69</v>
      </c>
      <c r="E14" s="91"/>
      <c r="F14" s="135" t="s">
        <v>303</v>
      </c>
      <c r="G14" s="91"/>
      <c r="H14" s="135" t="s">
        <v>334</v>
      </c>
      <c r="I14" s="91" t="s">
        <v>32</v>
      </c>
      <c r="J14" s="91"/>
      <c r="K14" s="91"/>
      <c r="L14" s="120"/>
      <c r="M14" s="121"/>
      <c r="N14" s="121"/>
      <c r="O14" s="121"/>
      <c r="P14" s="121"/>
      <c r="Q14" s="121"/>
      <c r="R14" s="121"/>
      <c r="S14" s="121"/>
      <c r="T14" s="121"/>
      <c r="U14" s="121"/>
      <c r="V14" s="121"/>
      <c r="W14" s="121"/>
      <c r="X14" s="121"/>
      <c r="Y14" s="121"/>
      <c r="Z14" s="121"/>
    </row>
    <row r="15" spans="1:26" s="151" customFormat="1" ht="66.599999999999994" customHeight="1" x14ac:dyDescent="0.25">
      <c r="A15" s="152" t="str">
        <f t="shared" si="0"/>
        <v>Xem danh mục sản phẩm-7</v>
      </c>
      <c r="B15" s="153" t="s">
        <v>62</v>
      </c>
      <c r="C15" s="154" t="s">
        <v>117</v>
      </c>
      <c r="D15" s="148" t="s">
        <v>548</v>
      </c>
      <c r="E15" s="148" t="s">
        <v>119</v>
      </c>
      <c r="F15" s="148" t="s">
        <v>549</v>
      </c>
      <c r="G15" s="148"/>
      <c r="H15" s="148" t="s">
        <v>336</v>
      </c>
      <c r="I15" s="148" t="s">
        <v>32</v>
      </c>
      <c r="J15" s="155"/>
      <c r="K15" s="155"/>
      <c r="L15" s="156"/>
      <c r="M15" s="156"/>
      <c r="N15" s="156"/>
      <c r="O15" s="156"/>
      <c r="P15" s="156"/>
      <c r="Q15" s="156"/>
      <c r="R15" s="156"/>
      <c r="S15" s="156"/>
      <c r="T15" s="156"/>
      <c r="U15" s="156"/>
      <c r="V15" s="156"/>
      <c r="W15" s="156"/>
      <c r="X15" s="156"/>
      <c r="Y15" s="156"/>
      <c r="Z15" s="156"/>
    </row>
    <row r="16" spans="1:26" ht="63" customHeight="1" x14ac:dyDescent="0.25">
      <c r="A16" s="143" t="str">
        <f t="shared" si="0"/>
        <v>Xem danh mục sản phẩm-8</v>
      </c>
      <c r="B16" s="142"/>
      <c r="C16" s="140"/>
      <c r="D16" s="122" t="s">
        <v>550</v>
      </c>
      <c r="E16" s="136" t="s">
        <v>118</v>
      </c>
      <c r="F16" s="91" t="s">
        <v>549</v>
      </c>
      <c r="G16" s="122"/>
      <c r="H16" s="122" t="s">
        <v>554</v>
      </c>
      <c r="I16" s="122" t="s">
        <v>36</v>
      </c>
      <c r="J16" s="138"/>
      <c r="K16" s="122" t="s">
        <v>553</v>
      </c>
      <c r="L16" s="139"/>
      <c r="M16" s="121"/>
      <c r="N16" s="121"/>
      <c r="O16" s="121"/>
      <c r="P16" s="121"/>
      <c r="Q16" s="121"/>
      <c r="R16" s="121"/>
      <c r="S16" s="121"/>
      <c r="T16" s="121"/>
      <c r="U16" s="121"/>
      <c r="V16" s="121"/>
      <c r="W16" s="121"/>
      <c r="X16" s="121"/>
      <c r="Y16" s="121"/>
      <c r="Z16" s="121"/>
    </row>
    <row r="17" spans="1:26" s="123" customFormat="1" ht="61.8" customHeight="1" x14ac:dyDescent="0.25">
      <c r="A17" s="145" t="str">
        <f t="shared" si="0"/>
        <v>Xem danh mục sản phẩm-9</v>
      </c>
      <c r="B17" s="147"/>
      <c r="C17" s="144"/>
      <c r="D17" s="148" t="s">
        <v>551</v>
      </c>
      <c r="E17" s="148" t="s">
        <v>552</v>
      </c>
      <c r="F17" s="91" t="s">
        <v>549</v>
      </c>
      <c r="G17" s="146"/>
      <c r="H17" s="144" t="s">
        <v>335</v>
      </c>
      <c r="I17" s="146" t="s">
        <v>36</v>
      </c>
      <c r="J17" s="146"/>
      <c r="K17" s="146" t="s">
        <v>536</v>
      </c>
      <c r="L17" s="120"/>
      <c r="M17" s="121"/>
      <c r="N17" s="121"/>
      <c r="O17" s="121"/>
      <c r="P17" s="121"/>
      <c r="Q17" s="121"/>
      <c r="R17" s="121"/>
      <c r="S17" s="121"/>
      <c r="T17" s="121"/>
      <c r="U17" s="121"/>
      <c r="V17" s="121"/>
      <c r="W17" s="121"/>
      <c r="X17" s="121"/>
      <c r="Y17" s="121"/>
      <c r="Z17" s="121"/>
    </row>
    <row r="18" spans="1:26" ht="12.75" customHeight="1" x14ac:dyDescent="0.25">
      <c r="A18" s="133"/>
      <c r="B18" s="8"/>
      <c r="C18" s="8"/>
      <c r="D18" s="137"/>
      <c r="E18" s="8"/>
      <c r="F18" s="8"/>
      <c r="G18" s="8"/>
      <c r="H18" s="8"/>
      <c r="I18" s="8"/>
      <c r="J18" s="8"/>
      <c r="K18" s="8"/>
      <c r="L18" s="94"/>
      <c r="M18" s="8"/>
      <c r="N18" s="8"/>
      <c r="O18" s="8"/>
      <c r="P18" s="8"/>
      <c r="Q18" s="8"/>
      <c r="R18" s="8"/>
      <c r="S18" s="8"/>
      <c r="T18" s="8"/>
      <c r="U18" s="8"/>
      <c r="V18" s="8"/>
      <c r="W18" s="8"/>
      <c r="X18" s="8"/>
      <c r="Y18" s="8"/>
      <c r="Z18" s="8"/>
    </row>
    <row r="19" spans="1:26" ht="12.75" customHeight="1" x14ac:dyDescent="0.25">
      <c r="A19" s="133"/>
      <c r="B19" s="8"/>
      <c r="C19" s="8"/>
      <c r="D19" s="137"/>
      <c r="E19" s="8"/>
      <c r="F19" s="8"/>
      <c r="G19" s="8"/>
      <c r="H19" s="8"/>
      <c r="I19" s="8"/>
      <c r="J19" s="8"/>
      <c r="K19" s="8"/>
      <c r="L19" s="94"/>
      <c r="M19" s="8"/>
      <c r="N19" s="8"/>
      <c r="O19" s="8"/>
      <c r="P19" s="8"/>
      <c r="Q19" s="8"/>
      <c r="R19" s="8"/>
      <c r="S19" s="8"/>
      <c r="T19" s="8"/>
      <c r="U19" s="8"/>
      <c r="V19" s="8"/>
      <c r="W19" s="8"/>
      <c r="X19" s="8"/>
      <c r="Y19" s="8"/>
      <c r="Z19" s="8"/>
    </row>
    <row r="20" spans="1:26" ht="12.75" customHeight="1" x14ac:dyDescent="0.25">
      <c r="A20" s="133"/>
      <c r="B20" s="8"/>
      <c r="C20" s="8"/>
      <c r="D20" s="8"/>
      <c r="E20" s="8"/>
      <c r="F20" s="8"/>
      <c r="G20" s="8"/>
      <c r="H20" s="8"/>
      <c r="I20" s="8"/>
      <c r="J20" s="8"/>
      <c r="K20" s="8"/>
      <c r="L20" s="94"/>
      <c r="M20" s="8"/>
      <c r="N20" s="8"/>
      <c r="O20" s="8"/>
      <c r="P20" s="8"/>
      <c r="Q20" s="8"/>
      <c r="R20" s="8"/>
      <c r="S20" s="8"/>
      <c r="T20" s="8"/>
      <c r="U20" s="8"/>
      <c r="V20" s="8"/>
      <c r="W20" s="8"/>
      <c r="X20" s="8"/>
      <c r="Y20" s="8"/>
      <c r="Z20" s="8"/>
    </row>
    <row r="21" spans="1:26" ht="12.75" customHeight="1" x14ac:dyDescent="0.25">
      <c r="A21" s="133"/>
      <c r="B21" s="8"/>
      <c r="C21" s="8"/>
      <c r="D21" s="8"/>
      <c r="E21" s="8"/>
      <c r="F21" s="8"/>
      <c r="G21" s="8"/>
      <c r="H21" s="8"/>
      <c r="I21" s="8"/>
      <c r="J21" s="8"/>
      <c r="K21" s="8"/>
      <c r="L21" s="94"/>
      <c r="M21" s="8"/>
      <c r="N21" s="8"/>
      <c r="O21" s="8"/>
      <c r="P21" s="8"/>
      <c r="Q21" s="8"/>
      <c r="R21" s="8"/>
      <c r="S21" s="8"/>
      <c r="T21" s="8"/>
      <c r="U21" s="8"/>
      <c r="V21" s="8"/>
      <c r="W21" s="8"/>
      <c r="X21" s="8"/>
      <c r="Y21" s="8"/>
      <c r="Z21" s="8"/>
    </row>
    <row r="22" spans="1:26" ht="12.75" customHeight="1" x14ac:dyDescent="0.25">
      <c r="A22" s="133"/>
      <c r="B22" s="8"/>
      <c r="C22" s="8"/>
      <c r="D22" s="8"/>
      <c r="E22" s="8"/>
      <c r="F22" s="8"/>
      <c r="G22" s="8"/>
      <c r="H22" s="8"/>
      <c r="I22" s="8"/>
      <c r="J22" s="8"/>
      <c r="K22" s="8"/>
      <c r="L22" s="94"/>
      <c r="M22" s="8"/>
      <c r="N22" s="8"/>
      <c r="O22" s="8"/>
      <c r="P22" s="8"/>
      <c r="Q22" s="8"/>
      <c r="R22" s="8"/>
      <c r="S22" s="8"/>
      <c r="T22" s="8"/>
      <c r="U22" s="8"/>
      <c r="V22" s="8"/>
      <c r="W22" s="8"/>
      <c r="X22" s="8"/>
      <c r="Y22" s="8"/>
      <c r="Z22" s="8"/>
    </row>
    <row r="23" spans="1:26" ht="12.75" customHeight="1" x14ac:dyDescent="0.25">
      <c r="A23" s="133"/>
      <c r="B23" s="8"/>
      <c r="C23" s="8"/>
      <c r="D23" s="8"/>
      <c r="E23" s="8"/>
      <c r="F23" s="8"/>
      <c r="G23" s="8"/>
      <c r="H23" s="8"/>
      <c r="I23" s="8"/>
      <c r="J23" s="8"/>
      <c r="K23" s="8"/>
      <c r="L23" s="94"/>
      <c r="M23" s="8"/>
      <c r="N23" s="8"/>
      <c r="O23" s="8"/>
      <c r="P23" s="8"/>
      <c r="Q23" s="8"/>
      <c r="R23" s="8"/>
      <c r="S23" s="8"/>
      <c r="T23" s="8"/>
      <c r="U23" s="8"/>
      <c r="V23" s="8"/>
      <c r="W23" s="8"/>
      <c r="X23" s="8"/>
      <c r="Y23" s="8"/>
      <c r="Z23" s="8"/>
    </row>
    <row r="24" spans="1:26" ht="12.75" customHeight="1" x14ac:dyDescent="0.25">
      <c r="A24" s="133"/>
      <c r="B24" s="8"/>
      <c r="C24" s="8"/>
      <c r="D24" s="8"/>
      <c r="E24" s="8"/>
      <c r="F24" s="8"/>
      <c r="G24" s="8"/>
      <c r="H24" s="8"/>
      <c r="I24" s="8"/>
      <c r="J24" s="8"/>
      <c r="K24" s="8"/>
      <c r="L24" s="94"/>
      <c r="M24" s="8"/>
      <c r="N24" s="8"/>
      <c r="O24" s="8"/>
      <c r="P24" s="8"/>
      <c r="Q24" s="8"/>
      <c r="R24" s="8"/>
      <c r="S24" s="8"/>
      <c r="T24" s="8"/>
      <c r="U24" s="8"/>
      <c r="V24" s="8"/>
      <c r="W24" s="8"/>
      <c r="X24" s="8"/>
      <c r="Y24" s="8"/>
      <c r="Z24" s="8"/>
    </row>
    <row r="25" spans="1:26" ht="12.75" customHeight="1" x14ac:dyDescent="0.25">
      <c r="A25" s="133"/>
      <c r="B25" s="8"/>
      <c r="C25" s="8"/>
      <c r="D25" s="8"/>
      <c r="E25" s="8"/>
      <c r="F25" s="8"/>
      <c r="G25" s="8"/>
      <c r="H25" s="8"/>
      <c r="I25" s="8"/>
      <c r="J25" s="8"/>
      <c r="K25" s="8"/>
      <c r="L25" s="94"/>
      <c r="M25" s="8"/>
      <c r="N25" s="8"/>
      <c r="O25" s="8"/>
      <c r="P25" s="8"/>
      <c r="Q25" s="8"/>
      <c r="R25" s="8"/>
      <c r="S25" s="8"/>
      <c r="T25" s="8"/>
      <c r="U25" s="8"/>
      <c r="V25" s="8"/>
      <c r="W25" s="8"/>
      <c r="X25" s="8"/>
      <c r="Y25" s="8"/>
      <c r="Z25" s="8"/>
    </row>
    <row r="26" spans="1:26" ht="12.75" customHeight="1" x14ac:dyDescent="0.25">
      <c r="A26" s="133"/>
      <c r="B26" s="8"/>
      <c r="C26" s="8"/>
      <c r="D26" s="8"/>
      <c r="E26" s="8"/>
      <c r="F26" s="8"/>
      <c r="G26" s="8"/>
      <c r="H26" s="8"/>
      <c r="I26" s="8"/>
      <c r="J26" s="8"/>
      <c r="K26" s="8"/>
      <c r="L26" s="94"/>
      <c r="M26" s="8"/>
      <c r="N26" s="8"/>
      <c r="O26" s="8"/>
      <c r="P26" s="8"/>
      <c r="Q26" s="8"/>
      <c r="R26" s="8"/>
      <c r="S26" s="8"/>
      <c r="T26" s="8"/>
      <c r="U26" s="8"/>
      <c r="V26" s="8"/>
      <c r="W26" s="8"/>
      <c r="X26" s="8"/>
      <c r="Y26" s="8"/>
      <c r="Z26" s="8"/>
    </row>
    <row r="27" spans="1:26" ht="12.75" customHeight="1" x14ac:dyDescent="0.25">
      <c r="A27" s="133"/>
      <c r="B27" s="8"/>
      <c r="C27" s="8"/>
      <c r="D27" s="8"/>
      <c r="E27" s="8"/>
      <c r="F27" s="8"/>
      <c r="G27" s="8"/>
      <c r="H27" s="8"/>
      <c r="I27" s="8"/>
      <c r="J27" s="8"/>
      <c r="K27" s="8"/>
      <c r="L27" s="94"/>
      <c r="M27" s="8"/>
      <c r="N27" s="8"/>
      <c r="O27" s="8"/>
      <c r="P27" s="8"/>
      <c r="Q27" s="8"/>
      <c r="R27" s="8"/>
      <c r="S27" s="8"/>
      <c r="T27" s="8"/>
      <c r="U27" s="8"/>
      <c r="V27" s="8"/>
      <c r="W27" s="8"/>
      <c r="X27" s="8"/>
      <c r="Y27" s="8"/>
      <c r="Z27" s="8"/>
    </row>
    <row r="28" spans="1:26" ht="12.75" customHeight="1" x14ac:dyDescent="0.25">
      <c r="A28" s="133"/>
      <c r="B28" s="8"/>
      <c r="C28" s="8"/>
      <c r="D28" s="8"/>
      <c r="E28" s="8"/>
      <c r="F28" s="8"/>
      <c r="G28" s="8"/>
      <c r="H28" s="8"/>
      <c r="I28" s="8"/>
      <c r="J28" s="8"/>
      <c r="K28" s="8"/>
      <c r="L28" s="94"/>
      <c r="M28" s="8"/>
      <c r="N28" s="8"/>
      <c r="O28" s="8"/>
      <c r="P28" s="8"/>
      <c r="Q28" s="8"/>
      <c r="R28" s="8"/>
      <c r="S28" s="8"/>
      <c r="T28" s="8"/>
      <c r="U28" s="8"/>
      <c r="V28" s="8"/>
      <c r="W28" s="8"/>
      <c r="X28" s="8"/>
      <c r="Y28" s="8"/>
      <c r="Z28" s="8"/>
    </row>
    <row r="29" spans="1:26" ht="12.75" customHeight="1" x14ac:dyDescent="0.25">
      <c r="A29" s="133"/>
      <c r="B29" s="8"/>
      <c r="C29" s="8"/>
      <c r="D29" s="8"/>
      <c r="E29" s="8"/>
      <c r="F29" s="8"/>
      <c r="G29" s="8"/>
      <c r="H29" s="8"/>
      <c r="I29" s="8"/>
      <c r="J29" s="8"/>
      <c r="K29" s="8"/>
      <c r="L29" s="94"/>
      <c r="M29" s="8"/>
      <c r="N29" s="8"/>
      <c r="O29" s="8"/>
      <c r="P29" s="8"/>
      <c r="Q29" s="8"/>
      <c r="R29" s="8"/>
      <c r="S29" s="8"/>
      <c r="T29" s="8"/>
      <c r="U29" s="8"/>
      <c r="V29" s="8"/>
      <c r="W29" s="8"/>
      <c r="X29" s="8"/>
      <c r="Y29" s="8"/>
      <c r="Z29" s="8"/>
    </row>
    <row r="30" spans="1:26" ht="12.75" customHeight="1" x14ac:dyDescent="0.25">
      <c r="A30" s="133"/>
      <c r="B30" s="8"/>
      <c r="C30" s="8"/>
      <c r="D30" s="8"/>
      <c r="E30" s="8"/>
      <c r="F30" s="8"/>
      <c r="G30" s="8"/>
      <c r="H30" s="8"/>
      <c r="I30" s="8"/>
      <c r="J30" s="8"/>
      <c r="K30" s="8"/>
      <c r="L30" s="94"/>
      <c r="M30" s="8"/>
      <c r="N30" s="8"/>
      <c r="O30" s="8"/>
      <c r="P30" s="8"/>
      <c r="Q30" s="8"/>
      <c r="R30" s="8"/>
      <c r="S30" s="8"/>
      <c r="T30" s="8"/>
      <c r="U30" s="8"/>
      <c r="V30" s="8"/>
      <c r="W30" s="8"/>
      <c r="X30" s="8"/>
      <c r="Y30" s="8"/>
      <c r="Z30" s="8"/>
    </row>
    <row r="31" spans="1:26" ht="12.75" customHeight="1" x14ac:dyDescent="0.25">
      <c r="A31" s="133"/>
      <c r="B31" s="8"/>
      <c r="C31" s="8"/>
      <c r="D31" s="8"/>
      <c r="E31" s="8"/>
      <c r="F31" s="8"/>
      <c r="G31" s="8"/>
      <c r="H31" s="8"/>
      <c r="I31" s="8"/>
      <c r="J31" s="8"/>
      <c r="K31" s="8"/>
      <c r="L31" s="94"/>
      <c r="M31" s="8"/>
      <c r="N31" s="8"/>
      <c r="O31" s="8"/>
      <c r="P31" s="8"/>
      <c r="Q31" s="8"/>
      <c r="R31" s="8"/>
      <c r="S31" s="8"/>
      <c r="T31" s="8"/>
      <c r="U31" s="8"/>
      <c r="V31" s="8"/>
      <c r="W31" s="8"/>
      <c r="X31" s="8"/>
      <c r="Y31" s="8"/>
      <c r="Z31" s="8"/>
    </row>
    <row r="32" spans="1:26" ht="12.75" customHeight="1" x14ac:dyDescent="0.25">
      <c r="A32" s="133"/>
      <c r="B32" s="8"/>
      <c r="C32" s="8"/>
      <c r="D32" s="8"/>
      <c r="E32" s="8"/>
      <c r="F32" s="8"/>
      <c r="G32" s="8"/>
      <c r="H32" s="8"/>
      <c r="I32" s="8"/>
      <c r="J32" s="8"/>
      <c r="K32" s="8"/>
      <c r="L32" s="94"/>
      <c r="M32" s="8"/>
      <c r="N32" s="8"/>
      <c r="O32" s="8"/>
      <c r="P32" s="8"/>
      <c r="Q32" s="8"/>
      <c r="R32" s="8"/>
      <c r="S32" s="8"/>
      <c r="T32" s="8"/>
      <c r="U32" s="8"/>
      <c r="V32" s="8"/>
      <c r="W32" s="8"/>
      <c r="X32" s="8"/>
      <c r="Y32" s="8"/>
      <c r="Z32" s="8"/>
    </row>
    <row r="33" spans="1:26" ht="12.75" customHeight="1" x14ac:dyDescent="0.25">
      <c r="A33" s="133"/>
      <c r="B33" s="8"/>
      <c r="C33" s="8"/>
      <c r="D33" s="8"/>
      <c r="E33" s="8"/>
      <c r="F33" s="8"/>
      <c r="G33" s="8"/>
      <c r="H33" s="8"/>
      <c r="I33" s="8"/>
      <c r="J33" s="8"/>
      <c r="K33" s="8"/>
      <c r="L33" s="94"/>
      <c r="M33" s="8"/>
      <c r="N33" s="8"/>
      <c r="O33" s="8"/>
      <c r="P33" s="8"/>
      <c r="Q33" s="8"/>
      <c r="R33" s="8"/>
      <c r="S33" s="8"/>
      <c r="T33" s="8"/>
      <c r="U33" s="8"/>
      <c r="V33" s="8"/>
      <c r="W33" s="8"/>
      <c r="X33" s="8"/>
      <c r="Y33" s="8"/>
      <c r="Z33" s="8"/>
    </row>
    <row r="34" spans="1:26" ht="12.75" customHeight="1" x14ac:dyDescent="0.25">
      <c r="A34" s="133"/>
      <c r="B34" s="8"/>
      <c r="C34" s="8"/>
      <c r="D34" s="8"/>
      <c r="E34" s="8"/>
      <c r="F34" s="8"/>
      <c r="G34" s="8"/>
      <c r="H34" s="8"/>
      <c r="I34" s="8"/>
      <c r="J34" s="8"/>
      <c r="K34" s="8"/>
      <c r="L34" s="94"/>
      <c r="M34" s="8"/>
      <c r="N34" s="8"/>
      <c r="O34" s="8"/>
      <c r="P34" s="8"/>
      <c r="Q34" s="8"/>
      <c r="R34" s="8"/>
      <c r="S34" s="8"/>
      <c r="T34" s="8"/>
      <c r="U34" s="8"/>
      <c r="V34" s="8"/>
      <c r="W34" s="8"/>
      <c r="X34" s="8"/>
      <c r="Y34" s="8"/>
      <c r="Z34" s="8"/>
    </row>
    <row r="35" spans="1:26" ht="12.75" customHeight="1" x14ac:dyDescent="0.25">
      <c r="A35" s="133"/>
      <c r="B35" s="8"/>
      <c r="C35" s="8"/>
      <c r="D35" s="8"/>
      <c r="E35" s="8"/>
      <c r="F35" s="8"/>
      <c r="G35" s="8"/>
      <c r="H35" s="8"/>
      <c r="I35" s="8"/>
      <c r="J35" s="8"/>
      <c r="K35" s="8"/>
      <c r="L35" s="94"/>
      <c r="M35" s="8"/>
      <c r="N35" s="8"/>
      <c r="O35" s="8"/>
      <c r="P35" s="8"/>
      <c r="Q35" s="8"/>
      <c r="R35" s="8"/>
      <c r="S35" s="8"/>
      <c r="T35" s="8"/>
      <c r="U35" s="8"/>
      <c r="V35" s="8"/>
      <c r="W35" s="8"/>
      <c r="X35" s="8"/>
      <c r="Y35" s="8"/>
      <c r="Z35" s="8"/>
    </row>
    <row r="36" spans="1:26" ht="12.75" customHeight="1" x14ac:dyDescent="0.25">
      <c r="A36" s="133"/>
      <c r="B36" s="8"/>
      <c r="C36" s="8"/>
      <c r="D36" s="8"/>
      <c r="E36" s="8"/>
      <c r="F36" s="8"/>
      <c r="G36" s="8"/>
      <c r="H36" s="8"/>
      <c r="I36" s="8"/>
      <c r="J36" s="8"/>
      <c r="K36" s="8"/>
      <c r="L36" s="94"/>
      <c r="M36" s="8"/>
      <c r="N36" s="8"/>
      <c r="O36" s="8"/>
      <c r="P36" s="8"/>
      <c r="Q36" s="8"/>
      <c r="R36" s="8"/>
      <c r="S36" s="8"/>
      <c r="T36" s="8"/>
      <c r="U36" s="8"/>
      <c r="V36" s="8"/>
      <c r="W36" s="8"/>
      <c r="X36" s="8"/>
      <c r="Y36" s="8"/>
      <c r="Z36" s="8"/>
    </row>
    <row r="37" spans="1:26" ht="12.75" customHeight="1" x14ac:dyDescent="0.25">
      <c r="A37" s="133"/>
      <c r="B37" s="8"/>
      <c r="C37" s="8"/>
      <c r="D37" s="8"/>
      <c r="E37" s="8"/>
      <c r="F37" s="8"/>
      <c r="G37" s="8"/>
      <c r="H37" s="8"/>
      <c r="I37" s="8"/>
      <c r="J37" s="8"/>
      <c r="K37" s="8"/>
      <c r="L37" s="94"/>
      <c r="M37" s="8"/>
      <c r="N37" s="8"/>
      <c r="O37" s="8"/>
      <c r="P37" s="8"/>
      <c r="Q37" s="8"/>
      <c r="R37" s="8"/>
      <c r="S37" s="8"/>
      <c r="T37" s="8"/>
      <c r="U37" s="8"/>
      <c r="V37" s="8"/>
      <c r="W37" s="8"/>
      <c r="X37" s="8"/>
      <c r="Y37" s="8"/>
      <c r="Z37" s="8"/>
    </row>
    <row r="38" spans="1:26" ht="12.75" customHeight="1" x14ac:dyDescent="0.25">
      <c r="A38" s="133"/>
      <c r="B38" s="8"/>
      <c r="C38" s="8"/>
      <c r="D38" s="8"/>
      <c r="E38" s="8"/>
      <c r="F38" s="8"/>
      <c r="G38" s="8"/>
      <c r="H38" s="8"/>
      <c r="I38" s="8"/>
      <c r="J38" s="8"/>
      <c r="K38" s="8"/>
      <c r="L38" s="94"/>
      <c r="M38" s="8"/>
      <c r="N38" s="8"/>
      <c r="O38" s="8"/>
      <c r="P38" s="8"/>
      <c r="Q38" s="8"/>
      <c r="R38" s="8"/>
      <c r="S38" s="8"/>
      <c r="T38" s="8"/>
      <c r="U38" s="8"/>
      <c r="V38" s="8"/>
      <c r="W38" s="8"/>
      <c r="X38" s="8"/>
      <c r="Y38" s="8"/>
      <c r="Z38" s="8"/>
    </row>
    <row r="39" spans="1:26" ht="12.75" customHeight="1" x14ac:dyDescent="0.25">
      <c r="A39" s="133"/>
      <c r="B39" s="8"/>
      <c r="C39" s="8"/>
      <c r="D39" s="8"/>
      <c r="E39" s="8"/>
      <c r="F39" s="8"/>
      <c r="G39" s="8"/>
      <c r="H39" s="8"/>
      <c r="I39" s="8"/>
      <c r="J39" s="8"/>
      <c r="K39" s="8"/>
      <c r="L39" s="94"/>
      <c r="M39" s="8"/>
      <c r="N39" s="8"/>
      <c r="O39" s="8"/>
      <c r="P39" s="8"/>
      <c r="Q39" s="8"/>
      <c r="R39" s="8"/>
      <c r="S39" s="8"/>
      <c r="T39" s="8"/>
      <c r="U39" s="8"/>
      <c r="V39" s="8"/>
      <c r="W39" s="8"/>
      <c r="X39" s="8"/>
      <c r="Y39" s="8"/>
      <c r="Z39" s="8"/>
    </row>
    <row r="40" spans="1:26" ht="12.75" customHeight="1" x14ac:dyDescent="0.25">
      <c r="A40" s="133"/>
      <c r="B40" s="8"/>
      <c r="C40" s="8"/>
      <c r="D40" s="8"/>
      <c r="E40" s="8"/>
      <c r="F40" s="8"/>
      <c r="G40" s="8"/>
      <c r="H40" s="8"/>
      <c r="I40" s="8"/>
      <c r="J40" s="8"/>
      <c r="K40" s="8"/>
      <c r="L40" s="94"/>
      <c r="M40" s="8"/>
      <c r="N40" s="8"/>
      <c r="O40" s="8"/>
      <c r="P40" s="8"/>
      <c r="Q40" s="8"/>
      <c r="R40" s="8"/>
      <c r="S40" s="8"/>
      <c r="T40" s="8"/>
      <c r="U40" s="8"/>
      <c r="V40" s="8"/>
      <c r="W40" s="8"/>
      <c r="X40" s="8"/>
      <c r="Y40" s="8"/>
      <c r="Z40" s="8"/>
    </row>
    <row r="41" spans="1:26" ht="12.75" customHeight="1" x14ac:dyDescent="0.25">
      <c r="A41" s="133"/>
      <c r="B41" s="8"/>
      <c r="C41" s="8"/>
      <c r="D41" s="8"/>
      <c r="E41" s="8"/>
      <c r="F41" s="8"/>
      <c r="G41" s="8"/>
      <c r="H41" s="8"/>
      <c r="I41" s="8"/>
      <c r="J41" s="8"/>
      <c r="K41" s="8"/>
      <c r="L41" s="94"/>
      <c r="M41" s="8"/>
      <c r="N41" s="8"/>
      <c r="O41" s="8"/>
      <c r="P41" s="8"/>
      <c r="Q41" s="8"/>
      <c r="R41" s="8"/>
      <c r="S41" s="8"/>
      <c r="T41" s="8"/>
      <c r="U41" s="8"/>
      <c r="V41" s="8"/>
      <c r="W41" s="8"/>
      <c r="X41" s="8"/>
      <c r="Y41" s="8"/>
      <c r="Z41" s="8"/>
    </row>
    <row r="42" spans="1:26" ht="12.75" customHeight="1" x14ac:dyDescent="0.25">
      <c r="A42" s="133"/>
      <c r="B42" s="8"/>
      <c r="C42" s="8"/>
      <c r="D42" s="8"/>
      <c r="E42" s="8"/>
      <c r="F42" s="8"/>
      <c r="G42" s="8"/>
      <c r="H42" s="8"/>
      <c r="I42" s="8"/>
      <c r="J42" s="8"/>
      <c r="K42" s="8"/>
      <c r="L42" s="94"/>
      <c r="M42" s="8"/>
      <c r="N42" s="8"/>
      <c r="O42" s="8"/>
      <c r="P42" s="8"/>
      <c r="Q42" s="8"/>
      <c r="R42" s="8"/>
      <c r="S42" s="8"/>
      <c r="T42" s="8"/>
      <c r="U42" s="8"/>
      <c r="V42" s="8"/>
      <c r="W42" s="8"/>
      <c r="X42" s="8"/>
      <c r="Y42" s="8"/>
      <c r="Z42" s="8"/>
    </row>
    <row r="43" spans="1:26" ht="12.75" customHeight="1" x14ac:dyDescent="0.25">
      <c r="A43" s="133"/>
      <c r="B43" s="8"/>
      <c r="C43" s="8"/>
      <c r="D43" s="8"/>
      <c r="E43" s="8"/>
      <c r="F43" s="8"/>
      <c r="G43" s="8"/>
      <c r="H43" s="8"/>
      <c r="I43" s="8"/>
      <c r="J43" s="8"/>
      <c r="K43" s="8"/>
      <c r="L43" s="94"/>
      <c r="M43" s="8"/>
      <c r="N43" s="8"/>
      <c r="O43" s="8"/>
      <c r="P43" s="8"/>
      <c r="Q43" s="8"/>
      <c r="R43" s="8"/>
      <c r="S43" s="8"/>
      <c r="T43" s="8"/>
      <c r="U43" s="8"/>
      <c r="V43" s="8"/>
      <c r="W43" s="8"/>
      <c r="X43" s="8"/>
      <c r="Y43" s="8"/>
      <c r="Z43" s="8"/>
    </row>
    <row r="44" spans="1:26" ht="12.75" customHeight="1" x14ac:dyDescent="0.25">
      <c r="A44" s="133"/>
      <c r="B44" s="8"/>
      <c r="C44" s="8"/>
      <c r="D44" s="8"/>
      <c r="E44" s="8"/>
      <c r="F44" s="8"/>
      <c r="G44" s="8"/>
      <c r="H44" s="8"/>
      <c r="I44" s="8"/>
      <c r="J44" s="8"/>
      <c r="K44" s="8"/>
      <c r="L44" s="94"/>
      <c r="M44" s="8"/>
      <c r="N44" s="8"/>
      <c r="O44" s="8"/>
      <c r="P44" s="8"/>
      <c r="Q44" s="8"/>
      <c r="R44" s="8"/>
      <c r="S44" s="8"/>
      <c r="T44" s="8"/>
      <c r="U44" s="8"/>
      <c r="V44" s="8"/>
      <c r="W44" s="8"/>
      <c r="X44" s="8"/>
      <c r="Y44" s="8"/>
      <c r="Z44" s="8"/>
    </row>
    <row r="45" spans="1:26" ht="12.75" customHeight="1" x14ac:dyDescent="0.25">
      <c r="A45" s="133"/>
      <c r="B45" s="8"/>
      <c r="C45" s="8"/>
      <c r="D45" s="8"/>
      <c r="E45" s="8"/>
      <c r="F45" s="8"/>
      <c r="G45" s="8"/>
      <c r="H45" s="8"/>
      <c r="I45" s="8"/>
      <c r="J45" s="8"/>
      <c r="K45" s="8"/>
      <c r="L45" s="94"/>
      <c r="M45" s="8"/>
      <c r="N45" s="8"/>
      <c r="O45" s="8"/>
      <c r="P45" s="8"/>
      <c r="Q45" s="8"/>
      <c r="R45" s="8"/>
      <c r="S45" s="8"/>
      <c r="T45" s="8"/>
      <c r="U45" s="8"/>
      <c r="V45" s="8"/>
      <c r="W45" s="8"/>
      <c r="X45" s="8"/>
      <c r="Y45" s="8"/>
      <c r="Z45" s="8"/>
    </row>
    <row r="46" spans="1:26" ht="12.75" customHeight="1" x14ac:dyDescent="0.25">
      <c r="A46" s="133"/>
      <c r="B46" s="8"/>
      <c r="C46" s="8"/>
      <c r="D46" s="8"/>
      <c r="E46" s="8"/>
      <c r="F46" s="8"/>
      <c r="G46" s="8"/>
      <c r="H46" s="8"/>
      <c r="I46" s="8"/>
      <c r="J46" s="8"/>
      <c r="K46" s="8"/>
      <c r="L46" s="94"/>
      <c r="M46" s="8"/>
      <c r="N46" s="8"/>
      <c r="O46" s="8"/>
      <c r="P46" s="8"/>
      <c r="Q46" s="8"/>
      <c r="R46" s="8"/>
      <c r="S46" s="8"/>
      <c r="T46" s="8"/>
      <c r="U46" s="8"/>
      <c r="V46" s="8"/>
      <c r="W46" s="8"/>
      <c r="X46" s="8"/>
      <c r="Y46" s="8"/>
      <c r="Z46" s="8"/>
    </row>
    <row r="47" spans="1:26" ht="12.75" customHeight="1" x14ac:dyDescent="0.25">
      <c r="A47" s="133"/>
      <c r="B47" s="8"/>
      <c r="C47" s="8"/>
      <c r="D47" s="8"/>
      <c r="E47" s="8"/>
      <c r="F47" s="8"/>
      <c r="G47" s="8"/>
      <c r="H47" s="8"/>
      <c r="I47" s="8"/>
      <c r="J47" s="8"/>
      <c r="K47" s="8"/>
      <c r="L47" s="94"/>
      <c r="M47" s="8"/>
      <c r="N47" s="8"/>
      <c r="O47" s="8"/>
      <c r="P47" s="8"/>
      <c r="Q47" s="8"/>
      <c r="R47" s="8"/>
      <c r="S47" s="8"/>
      <c r="T47" s="8"/>
      <c r="U47" s="8"/>
      <c r="V47" s="8"/>
      <c r="W47" s="8"/>
      <c r="X47" s="8"/>
      <c r="Y47" s="8"/>
      <c r="Z47" s="8"/>
    </row>
    <row r="48" spans="1:26" ht="12.75" customHeight="1" x14ac:dyDescent="0.25">
      <c r="A48" s="133"/>
      <c r="B48" s="8"/>
      <c r="C48" s="8"/>
      <c r="D48" s="8"/>
      <c r="E48" s="8"/>
      <c r="F48" s="8"/>
      <c r="G48" s="8"/>
      <c r="H48" s="8"/>
      <c r="I48" s="8"/>
      <c r="J48" s="8"/>
      <c r="K48" s="8"/>
      <c r="L48" s="94"/>
      <c r="M48" s="8"/>
      <c r="N48" s="8"/>
      <c r="O48" s="8"/>
      <c r="P48" s="8"/>
      <c r="Q48" s="8"/>
      <c r="R48" s="8"/>
      <c r="S48" s="8"/>
      <c r="T48" s="8"/>
      <c r="U48" s="8"/>
      <c r="V48" s="8"/>
      <c r="W48" s="8"/>
      <c r="X48" s="8"/>
      <c r="Y48" s="8"/>
      <c r="Z48" s="8"/>
    </row>
    <row r="49" spans="1:26" ht="12.75" customHeight="1" x14ac:dyDescent="0.25">
      <c r="A49" s="133"/>
      <c r="B49" s="8"/>
      <c r="C49" s="8"/>
      <c r="D49" s="8"/>
      <c r="E49" s="8"/>
      <c r="F49" s="8"/>
      <c r="G49" s="8"/>
      <c r="H49" s="8"/>
      <c r="I49" s="8"/>
      <c r="J49" s="8"/>
      <c r="K49" s="8"/>
      <c r="L49" s="94"/>
      <c r="M49" s="8"/>
      <c r="N49" s="8"/>
      <c r="O49" s="8"/>
      <c r="P49" s="8"/>
      <c r="Q49" s="8"/>
      <c r="R49" s="8"/>
      <c r="S49" s="8"/>
      <c r="T49" s="8"/>
      <c r="U49" s="8"/>
      <c r="V49" s="8"/>
      <c r="W49" s="8"/>
      <c r="X49" s="8"/>
      <c r="Y49" s="8"/>
      <c r="Z49" s="8"/>
    </row>
    <row r="50" spans="1:26" ht="12.75" customHeight="1" x14ac:dyDescent="0.25">
      <c r="A50" s="133"/>
      <c r="B50" s="8"/>
      <c r="C50" s="8"/>
      <c r="D50" s="8"/>
      <c r="E50" s="8"/>
      <c r="F50" s="8"/>
      <c r="G50" s="8"/>
      <c r="H50" s="8"/>
      <c r="I50" s="8"/>
      <c r="J50" s="8"/>
      <c r="K50" s="8"/>
      <c r="L50" s="94"/>
      <c r="M50" s="8"/>
      <c r="N50" s="8"/>
      <c r="O50" s="8"/>
      <c r="P50" s="8"/>
      <c r="Q50" s="8"/>
      <c r="R50" s="8"/>
      <c r="S50" s="8"/>
      <c r="T50" s="8"/>
      <c r="U50" s="8"/>
      <c r="V50" s="8"/>
      <c r="W50" s="8"/>
      <c r="X50" s="8"/>
      <c r="Y50" s="8"/>
      <c r="Z50" s="8"/>
    </row>
    <row r="51" spans="1:26" ht="12.75" customHeight="1" x14ac:dyDescent="0.25">
      <c r="A51" s="133"/>
      <c r="B51" s="8"/>
      <c r="C51" s="8"/>
      <c r="D51" s="8"/>
      <c r="E51" s="8"/>
      <c r="F51" s="8"/>
      <c r="G51" s="8"/>
      <c r="H51" s="8"/>
      <c r="I51" s="8"/>
      <c r="J51" s="8"/>
      <c r="K51" s="8"/>
      <c r="L51" s="94"/>
      <c r="M51" s="8"/>
      <c r="N51" s="8"/>
      <c r="O51" s="8"/>
      <c r="P51" s="8"/>
      <c r="Q51" s="8"/>
      <c r="R51" s="8"/>
      <c r="S51" s="8"/>
      <c r="T51" s="8"/>
      <c r="U51" s="8"/>
      <c r="V51" s="8"/>
      <c r="W51" s="8"/>
      <c r="X51" s="8"/>
      <c r="Y51" s="8"/>
      <c r="Z51" s="8"/>
    </row>
    <row r="52" spans="1:26" ht="12.75" customHeight="1" x14ac:dyDescent="0.25">
      <c r="A52" s="133"/>
      <c r="B52" s="8"/>
      <c r="C52" s="8"/>
      <c r="D52" s="8"/>
      <c r="E52" s="8"/>
      <c r="F52" s="8"/>
      <c r="G52" s="8"/>
      <c r="H52" s="8"/>
      <c r="I52" s="8"/>
      <c r="J52" s="8"/>
      <c r="K52" s="8"/>
      <c r="L52" s="94"/>
      <c r="M52" s="8"/>
      <c r="N52" s="8"/>
      <c r="O52" s="8"/>
      <c r="P52" s="8"/>
      <c r="Q52" s="8"/>
      <c r="R52" s="8"/>
      <c r="S52" s="8"/>
      <c r="T52" s="8"/>
      <c r="U52" s="8"/>
      <c r="V52" s="8"/>
      <c r="W52" s="8"/>
      <c r="X52" s="8"/>
      <c r="Y52" s="8"/>
      <c r="Z52" s="8"/>
    </row>
    <row r="53" spans="1:26" ht="12.75" customHeight="1" x14ac:dyDescent="0.25">
      <c r="A53" s="133"/>
      <c r="B53" s="8"/>
      <c r="C53" s="8"/>
      <c r="D53" s="8"/>
      <c r="E53" s="8"/>
      <c r="F53" s="8"/>
      <c r="G53" s="8"/>
      <c r="H53" s="8"/>
      <c r="I53" s="8"/>
      <c r="J53" s="8"/>
      <c r="K53" s="8"/>
      <c r="L53" s="94"/>
      <c r="M53" s="8"/>
      <c r="N53" s="8"/>
      <c r="O53" s="8"/>
      <c r="P53" s="8"/>
      <c r="Q53" s="8"/>
      <c r="R53" s="8"/>
      <c r="S53" s="8"/>
      <c r="T53" s="8"/>
      <c r="U53" s="8"/>
      <c r="V53" s="8"/>
      <c r="W53" s="8"/>
      <c r="X53" s="8"/>
      <c r="Y53" s="8"/>
      <c r="Z53" s="8"/>
    </row>
    <row r="54" spans="1:26" ht="12.75" customHeight="1" x14ac:dyDescent="0.25">
      <c r="A54" s="133"/>
      <c r="B54" s="8"/>
      <c r="C54" s="8"/>
      <c r="D54" s="8"/>
      <c r="E54" s="8"/>
      <c r="F54" s="8"/>
      <c r="G54" s="8"/>
      <c r="H54" s="8"/>
      <c r="I54" s="8"/>
      <c r="J54" s="8"/>
      <c r="K54" s="8"/>
      <c r="L54" s="94"/>
      <c r="M54" s="8"/>
      <c r="N54" s="8"/>
      <c r="O54" s="8"/>
      <c r="P54" s="8"/>
      <c r="Q54" s="8"/>
      <c r="R54" s="8"/>
      <c r="S54" s="8"/>
      <c r="T54" s="8"/>
      <c r="U54" s="8"/>
      <c r="V54" s="8"/>
      <c r="W54" s="8"/>
      <c r="X54" s="8"/>
      <c r="Y54" s="8"/>
      <c r="Z54" s="8"/>
    </row>
    <row r="55" spans="1:26" ht="12.75" customHeight="1" x14ac:dyDescent="0.25">
      <c r="A55" s="133"/>
      <c r="B55" s="8"/>
      <c r="C55" s="8"/>
      <c r="D55" s="8"/>
      <c r="E55" s="8"/>
      <c r="F55" s="8"/>
      <c r="G55" s="8"/>
      <c r="H55" s="8"/>
      <c r="I55" s="8"/>
      <c r="J55" s="8"/>
      <c r="K55" s="8"/>
      <c r="L55" s="94"/>
      <c r="M55" s="8"/>
      <c r="N55" s="8"/>
      <c r="O55" s="8"/>
      <c r="P55" s="8"/>
      <c r="Q55" s="8"/>
      <c r="R55" s="8"/>
      <c r="S55" s="8"/>
      <c r="T55" s="8"/>
      <c r="U55" s="8"/>
      <c r="V55" s="8"/>
      <c r="W55" s="8"/>
      <c r="X55" s="8"/>
      <c r="Y55" s="8"/>
      <c r="Z55" s="8"/>
    </row>
    <row r="56" spans="1:26" ht="12.75" customHeight="1" x14ac:dyDescent="0.25">
      <c r="A56" s="133"/>
      <c r="B56" s="8"/>
      <c r="C56" s="8"/>
      <c r="D56" s="8"/>
      <c r="E56" s="8"/>
      <c r="F56" s="8"/>
      <c r="G56" s="8"/>
      <c r="H56" s="8"/>
      <c r="I56" s="8"/>
      <c r="J56" s="8"/>
      <c r="K56" s="8"/>
      <c r="L56" s="94"/>
      <c r="M56" s="8"/>
      <c r="N56" s="8"/>
      <c r="O56" s="8"/>
      <c r="P56" s="8"/>
      <c r="Q56" s="8"/>
      <c r="R56" s="8"/>
      <c r="S56" s="8"/>
      <c r="T56" s="8"/>
      <c r="U56" s="8"/>
      <c r="V56" s="8"/>
      <c r="W56" s="8"/>
      <c r="X56" s="8"/>
      <c r="Y56" s="8"/>
      <c r="Z56" s="8"/>
    </row>
    <row r="57" spans="1:26" ht="12.75" customHeight="1" x14ac:dyDescent="0.25">
      <c r="A57" s="133"/>
      <c r="B57" s="8"/>
      <c r="C57" s="8"/>
      <c r="D57" s="8"/>
      <c r="E57" s="8"/>
      <c r="F57" s="8"/>
      <c r="G57" s="8"/>
      <c r="H57" s="8"/>
      <c r="I57" s="8"/>
      <c r="J57" s="8"/>
      <c r="K57" s="8"/>
      <c r="L57" s="94"/>
      <c r="M57" s="8"/>
      <c r="N57" s="8"/>
      <c r="O57" s="8"/>
      <c r="P57" s="8"/>
      <c r="Q57" s="8"/>
      <c r="R57" s="8"/>
      <c r="S57" s="8"/>
      <c r="T57" s="8"/>
      <c r="U57" s="8"/>
      <c r="V57" s="8"/>
      <c r="W57" s="8"/>
      <c r="X57" s="8"/>
      <c r="Y57" s="8"/>
      <c r="Z57" s="8"/>
    </row>
    <row r="58" spans="1:26" ht="12.75" customHeight="1" x14ac:dyDescent="0.25">
      <c r="A58" s="133"/>
      <c r="B58" s="8"/>
      <c r="C58" s="8"/>
      <c r="D58" s="8"/>
      <c r="E58" s="8"/>
      <c r="F58" s="8"/>
      <c r="G58" s="8"/>
      <c r="H58" s="8"/>
      <c r="I58" s="8"/>
      <c r="J58" s="8"/>
      <c r="K58" s="8"/>
      <c r="L58" s="94"/>
      <c r="M58" s="8"/>
      <c r="N58" s="8"/>
      <c r="O58" s="8"/>
      <c r="P58" s="8"/>
      <c r="Q58" s="8"/>
      <c r="R58" s="8"/>
      <c r="S58" s="8"/>
      <c r="T58" s="8"/>
      <c r="U58" s="8"/>
      <c r="V58" s="8"/>
      <c r="W58" s="8"/>
      <c r="X58" s="8"/>
      <c r="Y58" s="8"/>
      <c r="Z58" s="8"/>
    </row>
    <row r="59" spans="1:26" ht="12.75" customHeight="1" x14ac:dyDescent="0.25">
      <c r="A59" s="133"/>
      <c r="B59" s="8"/>
      <c r="C59" s="8"/>
      <c r="D59" s="8"/>
      <c r="E59" s="8"/>
      <c r="F59" s="8"/>
      <c r="G59" s="8"/>
      <c r="H59" s="8"/>
      <c r="I59" s="8"/>
      <c r="J59" s="8"/>
      <c r="K59" s="8"/>
      <c r="L59" s="94"/>
      <c r="M59" s="8"/>
      <c r="N59" s="8"/>
      <c r="O59" s="8"/>
      <c r="P59" s="8"/>
      <c r="Q59" s="8"/>
      <c r="R59" s="8"/>
      <c r="S59" s="8"/>
      <c r="T59" s="8"/>
      <c r="U59" s="8"/>
      <c r="V59" s="8"/>
      <c r="W59" s="8"/>
      <c r="X59" s="8"/>
      <c r="Y59" s="8"/>
      <c r="Z59" s="8"/>
    </row>
    <row r="60" spans="1:26" ht="12.75" customHeight="1" x14ac:dyDescent="0.25">
      <c r="A60" s="133"/>
      <c r="B60" s="8"/>
      <c r="C60" s="8"/>
      <c r="D60" s="8"/>
      <c r="E60" s="8"/>
      <c r="F60" s="8"/>
      <c r="G60" s="8"/>
      <c r="H60" s="8"/>
      <c r="I60" s="8"/>
      <c r="J60" s="8"/>
      <c r="K60" s="8"/>
      <c r="L60" s="94"/>
      <c r="M60" s="8"/>
      <c r="N60" s="8"/>
      <c r="O60" s="8"/>
      <c r="P60" s="8"/>
      <c r="Q60" s="8"/>
      <c r="R60" s="8"/>
      <c r="S60" s="8"/>
      <c r="T60" s="8"/>
      <c r="U60" s="8"/>
      <c r="V60" s="8"/>
      <c r="W60" s="8"/>
      <c r="X60" s="8"/>
      <c r="Y60" s="8"/>
      <c r="Z60" s="8"/>
    </row>
    <row r="61" spans="1:26" ht="12.75" customHeight="1" x14ac:dyDescent="0.25">
      <c r="A61" s="133"/>
      <c r="B61" s="8"/>
      <c r="C61" s="8"/>
      <c r="D61" s="8"/>
      <c r="E61" s="8"/>
      <c r="F61" s="8"/>
      <c r="G61" s="8"/>
      <c r="H61" s="8"/>
      <c r="I61" s="8"/>
      <c r="J61" s="8"/>
      <c r="K61" s="8"/>
      <c r="L61" s="94"/>
      <c r="M61" s="8"/>
      <c r="N61" s="8"/>
      <c r="O61" s="8"/>
      <c r="P61" s="8"/>
      <c r="Q61" s="8"/>
      <c r="R61" s="8"/>
      <c r="S61" s="8"/>
      <c r="T61" s="8"/>
      <c r="U61" s="8"/>
      <c r="V61" s="8"/>
      <c r="W61" s="8"/>
      <c r="X61" s="8"/>
      <c r="Y61" s="8"/>
      <c r="Z61" s="8"/>
    </row>
    <row r="62" spans="1:26" ht="12.75" customHeight="1" x14ac:dyDescent="0.25">
      <c r="A62" s="133"/>
      <c r="B62" s="8"/>
      <c r="C62" s="8"/>
      <c r="D62" s="8"/>
      <c r="E62" s="8"/>
      <c r="F62" s="8"/>
      <c r="G62" s="8"/>
      <c r="H62" s="8"/>
      <c r="I62" s="8"/>
      <c r="J62" s="8"/>
      <c r="K62" s="8"/>
      <c r="L62" s="94"/>
      <c r="M62" s="8"/>
      <c r="N62" s="8"/>
      <c r="O62" s="8"/>
      <c r="P62" s="8"/>
      <c r="Q62" s="8"/>
      <c r="R62" s="8"/>
      <c r="S62" s="8"/>
      <c r="T62" s="8"/>
      <c r="U62" s="8"/>
      <c r="V62" s="8"/>
      <c r="W62" s="8"/>
      <c r="X62" s="8"/>
      <c r="Y62" s="8"/>
      <c r="Z62" s="8"/>
    </row>
    <row r="63" spans="1:26" ht="12.75" customHeight="1" x14ac:dyDescent="0.25">
      <c r="A63" s="133"/>
      <c r="B63" s="8"/>
      <c r="C63" s="8"/>
      <c r="D63" s="8"/>
      <c r="E63" s="8"/>
      <c r="F63" s="8"/>
      <c r="G63" s="8"/>
      <c r="H63" s="8"/>
      <c r="I63" s="8"/>
      <c r="J63" s="8"/>
      <c r="K63" s="8"/>
      <c r="L63" s="94"/>
      <c r="M63" s="8"/>
      <c r="N63" s="8"/>
      <c r="O63" s="8"/>
      <c r="P63" s="8"/>
      <c r="Q63" s="8"/>
      <c r="R63" s="8"/>
      <c r="S63" s="8"/>
      <c r="T63" s="8"/>
      <c r="U63" s="8"/>
      <c r="V63" s="8"/>
      <c r="W63" s="8"/>
      <c r="X63" s="8"/>
      <c r="Y63" s="8"/>
      <c r="Z63" s="8"/>
    </row>
    <row r="64" spans="1:26" ht="12.75" customHeight="1" x14ac:dyDescent="0.25">
      <c r="A64" s="133"/>
      <c r="B64" s="8"/>
      <c r="C64" s="8"/>
      <c r="D64" s="8"/>
      <c r="E64" s="8"/>
      <c r="F64" s="8"/>
      <c r="G64" s="8"/>
      <c r="H64" s="8"/>
      <c r="I64" s="8"/>
      <c r="J64" s="8"/>
      <c r="K64" s="8"/>
      <c r="L64" s="94"/>
      <c r="M64" s="8"/>
      <c r="N64" s="8"/>
      <c r="O64" s="8"/>
      <c r="P64" s="8"/>
      <c r="Q64" s="8"/>
      <c r="R64" s="8"/>
      <c r="S64" s="8"/>
      <c r="T64" s="8"/>
      <c r="U64" s="8"/>
      <c r="V64" s="8"/>
      <c r="W64" s="8"/>
      <c r="X64" s="8"/>
      <c r="Y64" s="8"/>
      <c r="Z64" s="8"/>
    </row>
    <row r="65" spans="1:26" ht="12.75" customHeight="1" x14ac:dyDescent="0.25">
      <c r="A65" s="133"/>
      <c r="B65" s="8"/>
      <c r="C65" s="8"/>
      <c r="D65" s="8"/>
      <c r="E65" s="8"/>
      <c r="F65" s="8"/>
      <c r="G65" s="8"/>
      <c r="H65" s="8"/>
      <c r="I65" s="8"/>
      <c r="J65" s="8"/>
      <c r="K65" s="8"/>
      <c r="L65" s="94"/>
      <c r="M65" s="8"/>
      <c r="N65" s="8"/>
      <c r="O65" s="8"/>
      <c r="P65" s="8"/>
      <c r="Q65" s="8"/>
      <c r="R65" s="8"/>
      <c r="S65" s="8"/>
      <c r="T65" s="8"/>
      <c r="U65" s="8"/>
      <c r="V65" s="8"/>
      <c r="W65" s="8"/>
      <c r="X65" s="8"/>
      <c r="Y65" s="8"/>
      <c r="Z65" s="8"/>
    </row>
    <row r="66" spans="1:26" ht="12.75" customHeight="1" x14ac:dyDescent="0.25">
      <c r="A66" s="133"/>
      <c r="B66" s="8"/>
      <c r="C66" s="8"/>
      <c r="D66" s="8"/>
      <c r="E66" s="8"/>
      <c r="F66" s="8"/>
      <c r="G66" s="8"/>
      <c r="H66" s="8"/>
      <c r="I66" s="8"/>
      <c r="J66" s="8"/>
      <c r="K66" s="8"/>
      <c r="L66" s="94"/>
      <c r="M66" s="8"/>
      <c r="N66" s="8"/>
      <c r="O66" s="8"/>
      <c r="P66" s="8"/>
      <c r="Q66" s="8"/>
      <c r="R66" s="8"/>
      <c r="S66" s="8"/>
      <c r="T66" s="8"/>
      <c r="U66" s="8"/>
      <c r="V66" s="8"/>
      <c r="W66" s="8"/>
      <c r="X66" s="8"/>
      <c r="Y66" s="8"/>
      <c r="Z66" s="8"/>
    </row>
    <row r="67" spans="1:26" ht="12.75" customHeight="1" x14ac:dyDescent="0.25">
      <c r="A67" s="133"/>
      <c r="B67" s="8"/>
      <c r="C67" s="8"/>
      <c r="D67" s="8"/>
      <c r="E67" s="8"/>
      <c r="F67" s="8"/>
      <c r="G67" s="8"/>
      <c r="H67" s="8"/>
      <c r="I67" s="8"/>
      <c r="J67" s="8"/>
      <c r="K67" s="8"/>
      <c r="L67" s="94"/>
      <c r="M67" s="8"/>
      <c r="N67" s="8"/>
      <c r="O67" s="8"/>
      <c r="P67" s="8"/>
      <c r="Q67" s="8"/>
      <c r="R67" s="8"/>
      <c r="S67" s="8"/>
      <c r="T67" s="8"/>
      <c r="U67" s="8"/>
      <c r="V67" s="8"/>
      <c r="W67" s="8"/>
      <c r="X67" s="8"/>
      <c r="Y67" s="8"/>
      <c r="Z67" s="8"/>
    </row>
    <row r="68" spans="1:26" ht="12.75" customHeight="1" x14ac:dyDescent="0.25">
      <c r="A68" s="133"/>
      <c r="B68" s="8"/>
      <c r="C68" s="8"/>
      <c r="D68" s="8"/>
      <c r="E68" s="8"/>
      <c r="F68" s="8"/>
      <c r="G68" s="8"/>
      <c r="H68" s="8"/>
      <c r="I68" s="8"/>
      <c r="J68" s="8"/>
      <c r="K68" s="8"/>
      <c r="L68" s="94"/>
      <c r="M68" s="8"/>
      <c r="N68" s="8"/>
      <c r="O68" s="8"/>
      <c r="P68" s="8"/>
      <c r="Q68" s="8"/>
      <c r="R68" s="8"/>
      <c r="S68" s="8"/>
      <c r="T68" s="8"/>
      <c r="U68" s="8"/>
      <c r="V68" s="8"/>
      <c r="W68" s="8"/>
      <c r="X68" s="8"/>
      <c r="Y68" s="8"/>
      <c r="Z68" s="8"/>
    </row>
    <row r="69" spans="1:26" ht="12.75" customHeight="1" x14ac:dyDescent="0.25">
      <c r="A69" s="133"/>
      <c r="B69" s="8"/>
      <c r="C69" s="8"/>
      <c r="D69" s="8"/>
      <c r="E69" s="8"/>
      <c r="F69" s="8"/>
      <c r="G69" s="8"/>
      <c r="H69" s="8"/>
      <c r="I69" s="8"/>
      <c r="J69" s="8"/>
      <c r="K69" s="8"/>
      <c r="L69" s="94"/>
      <c r="M69" s="8"/>
      <c r="N69" s="8"/>
      <c r="O69" s="8"/>
      <c r="P69" s="8"/>
      <c r="Q69" s="8"/>
      <c r="R69" s="8"/>
      <c r="S69" s="8"/>
      <c r="T69" s="8"/>
      <c r="U69" s="8"/>
      <c r="V69" s="8"/>
      <c r="W69" s="8"/>
      <c r="X69" s="8"/>
      <c r="Y69" s="8"/>
      <c r="Z69" s="8"/>
    </row>
    <row r="70" spans="1:26" ht="12.75" customHeight="1" x14ac:dyDescent="0.25">
      <c r="A70" s="133"/>
      <c r="B70" s="8"/>
      <c r="C70" s="8"/>
      <c r="D70" s="8"/>
      <c r="E70" s="8"/>
      <c r="F70" s="8"/>
      <c r="G70" s="8"/>
      <c r="H70" s="8"/>
      <c r="I70" s="8"/>
      <c r="J70" s="8"/>
      <c r="K70" s="8"/>
      <c r="L70" s="94"/>
      <c r="M70" s="8"/>
      <c r="N70" s="8"/>
      <c r="O70" s="8"/>
      <c r="P70" s="8"/>
      <c r="Q70" s="8"/>
      <c r="R70" s="8"/>
      <c r="S70" s="8"/>
      <c r="T70" s="8"/>
      <c r="U70" s="8"/>
      <c r="V70" s="8"/>
      <c r="W70" s="8"/>
      <c r="X70" s="8"/>
      <c r="Y70" s="8"/>
      <c r="Z70" s="8"/>
    </row>
    <row r="71" spans="1:26" ht="12.75" customHeight="1" x14ac:dyDescent="0.25">
      <c r="A71" s="133"/>
      <c r="B71" s="8"/>
      <c r="C71" s="8"/>
      <c r="D71" s="8"/>
      <c r="E71" s="8"/>
      <c r="F71" s="8"/>
      <c r="G71" s="8"/>
      <c r="H71" s="8"/>
      <c r="I71" s="8"/>
      <c r="J71" s="8"/>
      <c r="K71" s="8"/>
      <c r="L71" s="94"/>
      <c r="M71" s="8"/>
      <c r="N71" s="8"/>
      <c r="O71" s="8"/>
      <c r="P71" s="8"/>
      <c r="Q71" s="8"/>
      <c r="R71" s="8"/>
      <c r="S71" s="8"/>
      <c r="T71" s="8"/>
      <c r="U71" s="8"/>
      <c r="V71" s="8"/>
      <c r="W71" s="8"/>
      <c r="X71" s="8"/>
      <c r="Y71" s="8"/>
      <c r="Z71" s="8"/>
    </row>
    <row r="72" spans="1:26" ht="12.75" customHeight="1" x14ac:dyDescent="0.25">
      <c r="A72" s="133"/>
      <c r="B72" s="8"/>
      <c r="C72" s="8"/>
      <c r="D72" s="8"/>
      <c r="E72" s="8"/>
      <c r="F72" s="8"/>
      <c r="G72" s="8"/>
      <c r="H72" s="8"/>
      <c r="I72" s="8"/>
      <c r="J72" s="8"/>
      <c r="K72" s="8"/>
      <c r="L72" s="94"/>
      <c r="M72" s="8"/>
      <c r="N72" s="8"/>
      <c r="O72" s="8"/>
      <c r="P72" s="8"/>
      <c r="Q72" s="8"/>
      <c r="R72" s="8"/>
      <c r="S72" s="8"/>
      <c r="T72" s="8"/>
      <c r="U72" s="8"/>
      <c r="V72" s="8"/>
      <c r="W72" s="8"/>
      <c r="X72" s="8"/>
      <c r="Y72" s="8"/>
      <c r="Z72" s="8"/>
    </row>
    <row r="73" spans="1:26" ht="12.75" customHeight="1" x14ac:dyDescent="0.25">
      <c r="A73" s="133"/>
      <c r="B73" s="8"/>
      <c r="C73" s="8"/>
      <c r="D73" s="8"/>
      <c r="E73" s="8"/>
      <c r="F73" s="8"/>
      <c r="G73" s="8"/>
      <c r="H73" s="8"/>
      <c r="I73" s="8"/>
      <c r="J73" s="8"/>
      <c r="K73" s="8"/>
      <c r="L73" s="94"/>
      <c r="M73" s="8"/>
      <c r="N73" s="8"/>
      <c r="O73" s="8"/>
      <c r="P73" s="8"/>
      <c r="Q73" s="8"/>
      <c r="R73" s="8"/>
      <c r="S73" s="8"/>
      <c r="T73" s="8"/>
      <c r="U73" s="8"/>
      <c r="V73" s="8"/>
      <c r="W73" s="8"/>
      <c r="X73" s="8"/>
      <c r="Y73" s="8"/>
      <c r="Z73" s="8"/>
    </row>
    <row r="74" spans="1:26" ht="12.75" customHeight="1" x14ac:dyDescent="0.25">
      <c r="A74" s="133"/>
      <c r="B74" s="8"/>
      <c r="C74" s="8"/>
      <c r="D74" s="8"/>
      <c r="E74" s="8"/>
      <c r="F74" s="8"/>
      <c r="G74" s="8"/>
      <c r="H74" s="8"/>
      <c r="I74" s="8"/>
      <c r="J74" s="8"/>
      <c r="K74" s="8"/>
      <c r="L74" s="94"/>
      <c r="M74" s="8"/>
      <c r="N74" s="8"/>
      <c r="O74" s="8"/>
      <c r="P74" s="8"/>
      <c r="Q74" s="8"/>
      <c r="R74" s="8"/>
      <c r="S74" s="8"/>
      <c r="T74" s="8"/>
      <c r="U74" s="8"/>
      <c r="V74" s="8"/>
      <c r="W74" s="8"/>
      <c r="X74" s="8"/>
      <c r="Y74" s="8"/>
      <c r="Z74" s="8"/>
    </row>
    <row r="75" spans="1:26" ht="12.75" customHeight="1" x14ac:dyDescent="0.25">
      <c r="A75" s="133"/>
      <c r="B75" s="8"/>
      <c r="C75" s="8"/>
      <c r="D75" s="8"/>
      <c r="E75" s="8"/>
      <c r="F75" s="8"/>
      <c r="G75" s="8"/>
      <c r="H75" s="8"/>
      <c r="I75" s="8"/>
      <c r="J75" s="8"/>
      <c r="K75" s="8"/>
      <c r="L75" s="94"/>
      <c r="M75" s="8"/>
      <c r="N75" s="8"/>
      <c r="O75" s="8"/>
      <c r="P75" s="8"/>
      <c r="Q75" s="8"/>
      <c r="R75" s="8"/>
      <c r="S75" s="8"/>
      <c r="T75" s="8"/>
      <c r="U75" s="8"/>
      <c r="V75" s="8"/>
      <c r="W75" s="8"/>
      <c r="X75" s="8"/>
      <c r="Y75" s="8"/>
      <c r="Z75" s="8"/>
    </row>
    <row r="76" spans="1:26" ht="12.75" customHeight="1" x14ac:dyDescent="0.25">
      <c r="A76" s="133"/>
      <c r="B76" s="8"/>
      <c r="C76" s="8"/>
      <c r="D76" s="8"/>
      <c r="E76" s="8"/>
      <c r="F76" s="8"/>
      <c r="G76" s="8"/>
      <c r="H76" s="8"/>
      <c r="I76" s="8"/>
      <c r="J76" s="8"/>
      <c r="K76" s="8"/>
      <c r="L76" s="94"/>
      <c r="M76" s="8"/>
      <c r="N76" s="8"/>
      <c r="O76" s="8"/>
      <c r="P76" s="8"/>
      <c r="Q76" s="8"/>
      <c r="R76" s="8"/>
      <c r="S76" s="8"/>
      <c r="T76" s="8"/>
      <c r="U76" s="8"/>
      <c r="V76" s="8"/>
      <c r="W76" s="8"/>
      <c r="X76" s="8"/>
      <c r="Y76" s="8"/>
      <c r="Z76" s="8"/>
    </row>
    <row r="77" spans="1:26" ht="12.75" customHeight="1" x14ac:dyDescent="0.25">
      <c r="A77" s="133"/>
      <c r="B77" s="8"/>
      <c r="C77" s="8"/>
      <c r="D77" s="8"/>
      <c r="E77" s="8"/>
      <c r="F77" s="8"/>
      <c r="G77" s="8"/>
      <c r="H77" s="8"/>
      <c r="I77" s="8"/>
      <c r="J77" s="8"/>
      <c r="K77" s="8"/>
      <c r="L77" s="94"/>
      <c r="M77" s="8"/>
      <c r="N77" s="8"/>
      <c r="O77" s="8"/>
      <c r="P77" s="8"/>
      <c r="Q77" s="8"/>
      <c r="R77" s="8"/>
      <c r="S77" s="8"/>
      <c r="T77" s="8"/>
      <c r="U77" s="8"/>
      <c r="V77" s="8"/>
      <c r="W77" s="8"/>
      <c r="X77" s="8"/>
      <c r="Y77" s="8"/>
      <c r="Z77" s="8"/>
    </row>
    <row r="78" spans="1:26" ht="12.75" customHeight="1" x14ac:dyDescent="0.25">
      <c r="A78" s="133"/>
      <c r="B78" s="8"/>
      <c r="C78" s="8"/>
      <c r="D78" s="8"/>
      <c r="E78" s="8"/>
      <c r="F78" s="8"/>
      <c r="G78" s="8"/>
      <c r="H78" s="8"/>
      <c r="I78" s="8"/>
      <c r="J78" s="8"/>
      <c r="K78" s="8"/>
      <c r="L78" s="94"/>
      <c r="M78" s="8"/>
      <c r="N78" s="8"/>
      <c r="O78" s="8"/>
      <c r="P78" s="8"/>
      <c r="Q78" s="8"/>
      <c r="R78" s="8"/>
      <c r="S78" s="8"/>
      <c r="T78" s="8"/>
      <c r="U78" s="8"/>
      <c r="V78" s="8"/>
      <c r="W78" s="8"/>
      <c r="X78" s="8"/>
      <c r="Y78" s="8"/>
      <c r="Z78" s="8"/>
    </row>
    <row r="79" spans="1:26" ht="12.75" customHeight="1" x14ac:dyDescent="0.25">
      <c r="A79" s="133"/>
      <c r="B79" s="8"/>
      <c r="C79" s="8"/>
      <c r="D79" s="8"/>
      <c r="E79" s="8"/>
      <c r="F79" s="8"/>
      <c r="G79" s="8"/>
      <c r="H79" s="8"/>
      <c r="I79" s="8"/>
      <c r="J79" s="8"/>
      <c r="K79" s="8"/>
      <c r="L79" s="94"/>
      <c r="M79" s="8"/>
      <c r="N79" s="8"/>
      <c r="O79" s="8"/>
      <c r="P79" s="8"/>
      <c r="Q79" s="8"/>
      <c r="R79" s="8"/>
      <c r="S79" s="8"/>
      <c r="T79" s="8"/>
      <c r="U79" s="8"/>
      <c r="V79" s="8"/>
      <c r="W79" s="8"/>
      <c r="X79" s="8"/>
      <c r="Y79" s="8"/>
      <c r="Z79" s="8"/>
    </row>
    <row r="80" spans="1:26" ht="12.75" customHeight="1" x14ac:dyDescent="0.25">
      <c r="A80" s="133"/>
      <c r="B80" s="8"/>
      <c r="C80" s="8"/>
      <c r="D80" s="8"/>
      <c r="E80" s="8"/>
      <c r="F80" s="8"/>
      <c r="G80" s="8"/>
      <c r="H80" s="8"/>
      <c r="I80" s="8"/>
      <c r="J80" s="8"/>
      <c r="K80" s="8"/>
      <c r="L80" s="94"/>
      <c r="M80" s="8"/>
      <c r="N80" s="8"/>
      <c r="O80" s="8"/>
      <c r="P80" s="8"/>
      <c r="Q80" s="8"/>
      <c r="R80" s="8"/>
      <c r="S80" s="8"/>
      <c r="T80" s="8"/>
      <c r="U80" s="8"/>
      <c r="V80" s="8"/>
      <c r="W80" s="8"/>
      <c r="X80" s="8"/>
      <c r="Y80" s="8"/>
      <c r="Z80" s="8"/>
    </row>
    <row r="81" spans="1:26" ht="12.75" customHeight="1" x14ac:dyDescent="0.25">
      <c r="A81" s="133"/>
      <c r="B81" s="8"/>
      <c r="C81" s="8"/>
      <c r="D81" s="8"/>
      <c r="E81" s="8"/>
      <c r="F81" s="8"/>
      <c r="G81" s="8"/>
      <c r="H81" s="8"/>
      <c r="I81" s="8"/>
      <c r="J81" s="8"/>
      <c r="K81" s="8"/>
      <c r="L81" s="94"/>
      <c r="M81" s="8"/>
      <c r="N81" s="8"/>
      <c r="O81" s="8"/>
      <c r="P81" s="8"/>
      <c r="Q81" s="8"/>
      <c r="R81" s="8"/>
      <c r="S81" s="8"/>
      <c r="T81" s="8"/>
      <c r="U81" s="8"/>
      <c r="V81" s="8"/>
      <c r="W81" s="8"/>
      <c r="X81" s="8"/>
      <c r="Y81" s="8"/>
      <c r="Z81" s="8"/>
    </row>
    <row r="82" spans="1:26" ht="12.75" customHeight="1" x14ac:dyDescent="0.25">
      <c r="A82" s="133"/>
      <c r="B82" s="8"/>
      <c r="C82" s="8"/>
      <c r="D82" s="8"/>
      <c r="E82" s="8"/>
      <c r="F82" s="8"/>
      <c r="G82" s="8"/>
      <c r="H82" s="8"/>
      <c r="I82" s="8"/>
      <c r="J82" s="8"/>
      <c r="K82" s="8"/>
      <c r="L82" s="94"/>
      <c r="M82" s="8"/>
      <c r="N82" s="8"/>
      <c r="O82" s="8"/>
      <c r="P82" s="8"/>
      <c r="Q82" s="8"/>
      <c r="R82" s="8"/>
      <c r="S82" s="8"/>
      <c r="T82" s="8"/>
      <c r="U82" s="8"/>
      <c r="V82" s="8"/>
      <c r="W82" s="8"/>
      <c r="X82" s="8"/>
      <c r="Y82" s="8"/>
      <c r="Z82" s="8"/>
    </row>
    <row r="83" spans="1:26" ht="12.75" customHeight="1" x14ac:dyDescent="0.25">
      <c r="A83" s="133"/>
      <c r="B83" s="8"/>
      <c r="C83" s="8"/>
      <c r="D83" s="8"/>
      <c r="E83" s="8"/>
      <c r="F83" s="8"/>
      <c r="G83" s="8"/>
      <c r="H83" s="8"/>
      <c r="I83" s="8"/>
      <c r="J83" s="8"/>
      <c r="K83" s="8"/>
      <c r="L83" s="94"/>
      <c r="M83" s="8"/>
      <c r="N83" s="8"/>
      <c r="O83" s="8"/>
      <c r="P83" s="8"/>
      <c r="Q83" s="8"/>
      <c r="R83" s="8"/>
      <c r="S83" s="8"/>
      <c r="T83" s="8"/>
      <c r="U83" s="8"/>
      <c r="V83" s="8"/>
      <c r="W83" s="8"/>
      <c r="X83" s="8"/>
      <c r="Y83" s="8"/>
      <c r="Z83" s="8"/>
    </row>
    <row r="84" spans="1:26" ht="12.75" customHeight="1" x14ac:dyDescent="0.25">
      <c r="A84" s="133"/>
      <c r="B84" s="8"/>
      <c r="C84" s="8"/>
      <c r="D84" s="8"/>
      <c r="E84" s="8"/>
      <c r="F84" s="8"/>
      <c r="G84" s="8"/>
      <c r="H84" s="8"/>
      <c r="I84" s="8"/>
      <c r="J84" s="8"/>
      <c r="K84" s="8"/>
      <c r="L84" s="94"/>
      <c r="M84" s="8"/>
      <c r="N84" s="8"/>
      <c r="O84" s="8"/>
      <c r="P84" s="8"/>
      <c r="Q84" s="8"/>
      <c r="R84" s="8"/>
      <c r="S84" s="8"/>
      <c r="T84" s="8"/>
      <c r="U84" s="8"/>
      <c r="V84" s="8"/>
      <c r="W84" s="8"/>
      <c r="X84" s="8"/>
      <c r="Y84" s="8"/>
      <c r="Z84" s="8"/>
    </row>
    <row r="85" spans="1:26" ht="12.75" customHeight="1" x14ac:dyDescent="0.25">
      <c r="A85" s="133"/>
      <c r="B85" s="8"/>
      <c r="C85" s="8"/>
      <c r="D85" s="8"/>
      <c r="E85" s="8"/>
      <c r="F85" s="8"/>
      <c r="G85" s="8"/>
      <c r="H85" s="8"/>
      <c r="I85" s="8"/>
      <c r="J85" s="8"/>
      <c r="K85" s="8"/>
      <c r="L85" s="94"/>
      <c r="M85" s="8"/>
      <c r="N85" s="8"/>
      <c r="O85" s="8"/>
      <c r="P85" s="8"/>
      <c r="Q85" s="8"/>
      <c r="R85" s="8"/>
      <c r="S85" s="8"/>
      <c r="T85" s="8"/>
      <c r="U85" s="8"/>
      <c r="V85" s="8"/>
      <c r="W85" s="8"/>
      <c r="X85" s="8"/>
      <c r="Y85" s="8"/>
      <c r="Z85" s="8"/>
    </row>
    <row r="86" spans="1:26" ht="12.75" customHeight="1" x14ac:dyDescent="0.25">
      <c r="A86" s="133"/>
      <c r="B86" s="8"/>
      <c r="C86" s="8"/>
      <c r="D86" s="8"/>
      <c r="E86" s="8"/>
      <c r="F86" s="8"/>
      <c r="G86" s="8"/>
      <c r="H86" s="8"/>
      <c r="I86" s="8"/>
      <c r="J86" s="8"/>
      <c r="K86" s="8"/>
      <c r="L86" s="94"/>
      <c r="M86" s="8"/>
      <c r="N86" s="8"/>
      <c r="O86" s="8"/>
      <c r="P86" s="8"/>
      <c r="Q86" s="8"/>
      <c r="R86" s="8"/>
      <c r="S86" s="8"/>
      <c r="T86" s="8"/>
      <c r="U86" s="8"/>
      <c r="V86" s="8"/>
      <c r="W86" s="8"/>
      <c r="X86" s="8"/>
      <c r="Y86" s="8"/>
      <c r="Z86" s="8"/>
    </row>
    <row r="87" spans="1:26" ht="12.75" customHeight="1" x14ac:dyDescent="0.25">
      <c r="A87" s="133"/>
      <c r="B87" s="8"/>
      <c r="C87" s="8"/>
      <c r="D87" s="8"/>
      <c r="E87" s="8"/>
      <c r="F87" s="8"/>
      <c r="G87" s="8"/>
      <c r="H87" s="8"/>
      <c r="I87" s="8"/>
      <c r="J87" s="8"/>
      <c r="K87" s="8"/>
      <c r="L87" s="94"/>
      <c r="M87" s="8"/>
      <c r="N87" s="8"/>
      <c r="O87" s="8"/>
      <c r="P87" s="8"/>
      <c r="Q87" s="8"/>
      <c r="R87" s="8"/>
      <c r="S87" s="8"/>
      <c r="T87" s="8"/>
      <c r="U87" s="8"/>
      <c r="V87" s="8"/>
      <c r="W87" s="8"/>
      <c r="X87" s="8"/>
      <c r="Y87" s="8"/>
      <c r="Z87" s="8"/>
    </row>
    <row r="88" spans="1:26" ht="12.75" customHeight="1" x14ac:dyDescent="0.25">
      <c r="A88" s="133"/>
      <c r="B88" s="8"/>
      <c r="C88" s="8"/>
      <c r="D88" s="8"/>
      <c r="E88" s="8"/>
      <c r="F88" s="8"/>
      <c r="G88" s="8"/>
      <c r="H88" s="8"/>
      <c r="I88" s="8"/>
      <c r="J88" s="8"/>
      <c r="K88" s="8"/>
      <c r="L88" s="94"/>
      <c r="M88" s="8"/>
      <c r="N88" s="8"/>
      <c r="O88" s="8"/>
      <c r="P88" s="8"/>
      <c r="Q88" s="8"/>
      <c r="R88" s="8"/>
      <c r="S88" s="8"/>
      <c r="T88" s="8"/>
      <c r="U88" s="8"/>
      <c r="V88" s="8"/>
      <c r="W88" s="8"/>
      <c r="X88" s="8"/>
      <c r="Y88" s="8"/>
      <c r="Z88" s="8"/>
    </row>
    <row r="89" spans="1:26" ht="12.75" customHeight="1" x14ac:dyDescent="0.25">
      <c r="A89" s="133"/>
      <c r="B89" s="8"/>
      <c r="C89" s="8"/>
      <c r="D89" s="8"/>
      <c r="E89" s="8"/>
      <c r="F89" s="8"/>
      <c r="G89" s="8"/>
      <c r="H89" s="8"/>
      <c r="I89" s="8"/>
      <c r="J89" s="8"/>
      <c r="K89" s="8"/>
      <c r="L89" s="94"/>
      <c r="M89" s="8"/>
      <c r="N89" s="8"/>
      <c r="O89" s="8"/>
      <c r="P89" s="8"/>
      <c r="Q89" s="8"/>
      <c r="R89" s="8"/>
      <c r="S89" s="8"/>
      <c r="T89" s="8"/>
      <c r="U89" s="8"/>
      <c r="V89" s="8"/>
      <c r="W89" s="8"/>
      <c r="X89" s="8"/>
      <c r="Y89" s="8"/>
      <c r="Z89" s="8"/>
    </row>
    <row r="90" spans="1:26" ht="12.75" customHeight="1" x14ac:dyDescent="0.25">
      <c r="A90" s="133"/>
      <c r="B90" s="8"/>
      <c r="C90" s="8"/>
      <c r="D90" s="8"/>
      <c r="E90" s="8"/>
      <c r="F90" s="8"/>
      <c r="G90" s="8"/>
      <c r="H90" s="8"/>
      <c r="I90" s="8"/>
      <c r="J90" s="8"/>
      <c r="K90" s="8"/>
      <c r="L90" s="94"/>
      <c r="M90" s="8"/>
      <c r="N90" s="8"/>
      <c r="O90" s="8"/>
      <c r="P90" s="8"/>
      <c r="Q90" s="8"/>
      <c r="R90" s="8"/>
      <c r="S90" s="8"/>
      <c r="T90" s="8"/>
      <c r="U90" s="8"/>
      <c r="V90" s="8"/>
      <c r="W90" s="8"/>
      <c r="X90" s="8"/>
      <c r="Y90" s="8"/>
      <c r="Z90" s="8"/>
    </row>
    <row r="91" spans="1:26" ht="12.75" customHeight="1" x14ac:dyDescent="0.25">
      <c r="A91" s="133"/>
      <c r="B91" s="8"/>
      <c r="C91" s="8"/>
      <c r="D91" s="8"/>
      <c r="E91" s="8"/>
      <c r="F91" s="8"/>
      <c r="G91" s="8"/>
      <c r="H91" s="8"/>
      <c r="I91" s="8"/>
      <c r="J91" s="8"/>
      <c r="K91" s="8"/>
      <c r="L91" s="94"/>
      <c r="M91" s="8"/>
      <c r="N91" s="8"/>
      <c r="O91" s="8"/>
      <c r="P91" s="8"/>
      <c r="Q91" s="8"/>
      <c r="R91" s="8"/>
      <c r="S91" s="8"/>
      <c r="T91" s="8"/>
      <c r="U91" s="8"/>
      <c r="V91" s="8"/>
      <c r="W91" s="8"/>
      <c r="X91" s="8"/>
      <c r="Y91" s="8"/>
      <c r="Z91" s="8"/>
    </row>
    <row r="92" spans="1:26" ht="12.75" customHeight="1" x14ac:dyDescent="0.25">
      <c r="A92" s="133"/>
      <c r="B92" s="8"/>
      <c r="C92" s="8"/>
      <c r="D92" s="8"/>
      <c r="E92" s="8"/>
      <c r="F92" s="8"/>
      <c r="G92" s="8"/>
      <c r="H92" s="8"/>
      <c r="I92" s="8"/>
      <c r="J92" s="8"/>
      <c r="K92" s="8"/>
      <c r="L92" s="94"/>
      <c r="M92" s="8"/>
      <c r="N92" s="8"/>
      <c r="O92" s="8"/>
      <c r="P92" s="8"/>
      <c r="Q92" s="8"/>
      <c r="R92" s="8"/>
      <c r="S92" s="8"/>
      <c r="T92" s="8"/>
      <c r="U92" s="8"/>
      <c r="V92" s="8"/>
      <c r="W92" s="8"/>
      <c r="X92" s="8"/>
      <c r="Y92" s="8"/>
      <c r="Z92" s="8"/>
    </row>
    <row r="93" spans="1:26" ht="12.75" customHeight="1" x14ac:dyDescent="0.25">
      <c r="A93" s="133"/>
      <c r="B93" s="8"/>
      <c r="C93" s="8"/>
      <c r="D93" s="8"/>
      <c r="E93" s="8"/>
      <c r="F93" s="8"/>
      <c r="G93" s="8"/>
      <c r="H93" s="8"/>
      <c r="I93" s="8"/>
      <c r="J93" s="8"/>
      <c r="K93" s="8"/>
      <c r="L93" s="94"/>
      <c r="M93" s="8"/>
      <c r="N93" s="8"/>
      <c r="O93" s="8"/>
      <c r="P93" s="8"/>
      <c r="Q93" s="8"/>
      <c r="R93" s="8"/>
      <c r="S93" s="8"/>
      <c r="T93" s="8"/>
      <c r="U93" s="8"/>
      <c r="V93" s="8"/>
      <c r="W93" s="8"/>
      <c r="X93" s="8"/>
      <c r="Y93" s="8"/>
      <c r="Z93" s="8"/>
    </row>
    <row r="94" spans="1:26" ht="12.75" customHeight="1" x14ac:dyDescent="0.25">
      <c r="A94" s="133"/>
      <c r="B94" s="8"/>
      <c r="C94" s="8"/>
      <c r="D94" s="8"/>
      <c r="E94" s="8"/>
      <c r="F94" s="8"/>
      <c r="G94" s="8"/>
      <c r="H94" s="8"/>
      <c r="I94" s="8"/>
      <c r="J94" s="8"/>
      <c r="K94" s="8"/>
      <c r="L94" s="94"/>
      <c r="M94" s="8"/>
      <c r="N94" s="8"/>
      <c r="O94" s="8"/>
      <c r="P94" s="8"/>
      <c r="Q94" s="8"/>
      <c r="R94" s="8"/>
      <c r="S94" s="8"/>
      <c r="T94" s="8"/>
      <c r="U94" s="8"/>
      <c r="V94" s="8"/>
      <c r="W94" s="8"/>
      <c r="X94" s="8"/>
      <c r="Y94" s="8"/>
      <c r="Z94" s="8"/>
    </row>
    <row r="95" spans="1:26" ht="12.75" customHeight="1" x14ac:dyDescent="0.25">
      <c r="A95" s="133"/>
      <c r="B95" s="8"/>
      <c r="C95" s="8"/>
      <c r="D95" s="8"/>
      <c r="E95" s="8"/>
      <c r="F95" s="8"/>
      <c r="G95" s="8"/>
      <c r="H95" s="8"/>
      <c r="I95" s="8"/>
      <c r="J95" s="8"/>
      <c r="K95" s="8"/>
      <c r="L95" s="94"/>
      <c r="M95" s="8"/>
      <c r="N95" s="8"/>
      <c r="O95" s="8"/>
      <c r="P95" s="8"/>
      <c r="Q95" s="8"/>
      <c r="R95" s="8"/>
      <c r="S95" s="8"/>
      <c r="T95" s="8"/>
      <c r="U95" s="8"/>
      <c r="V95" s="8"/>
      <c r="W95" s="8"/>
      <c r="X95" s="8"/>
      <c r="Y95" s="8"/>
      <c r="Z95" s="8"/>
    </row>
    <row r="96" spans="1:26" ht="12.75" customHeight="1" x14ac:dyDescent="0.25">
      <c r="A96" s="133"/>
      <c r="B96" s="8"/>
      <c r="C96" s="8"/>
      <c r="D96" s="8"/>
      <c r="E96" s="8"/>
      <c r="F96" s="8"/>
      <c r="G96" s="8"/>
      <c r="H96" s="8"/>
      <c r="I96" s="8"/>
      <c r="J96" s="8"/>
      <c r="K96" s="8"/>
      <c r="L96" s="94"/>
      <c r="M96" s="8"/>
      <c r="N96" s="8"/>
      <c r="O96" s="8"/>
      <c r="P96" s="8"/>
      <c r="Q96" s="8"/>
      <c r="R96" s="8"/>
      <c r="S96" s="8"/>
      <c r="T96" s="8"/>
      <c r="U96" s="8"/>
      <c r="V96" s="8"/>
      <c r="W96" s="8"/>
      <c r="X96" s="8"/>
      <c r="Y96" s="8"/>
      <c r="Z96" s="8"/>
    </row>
    <row r="97" spans="1:26" ht="12.75" customHeight="1" x14ac:dyDescent="0.25">
      <c r="A97" s="133"/>
      <c r="B97" s="8"/>
      <c r="C97" s="8"/>
      <c r="D97" s="8"/>
      <c r="E97" s="8"/>
      <c r="F97" s="8"/>
      <c r="G97" s="8"/>
      <c r="H97" s="8"/>
      <c r="I97" s="8"/>
      <c r="J97" s="8"/>
      <c r="K97" s="8"/>
      <c r="L97" s="94"/>
      <c r="M97" s="8"/>
      <c r="N97" s="8"/>
      <c r="O97" s="8"/>
      <c r="P97" s="8"/>
      <c r="Q97" s="8"/>
      <c r="R97" s="8"/>
      <c r="S97" s="8"/>
      <c r="T97" s="8"/>
      <c r="U97" s="8"/>
      <c r="V97" s="8"/>
      <c r="W97" s="8"/>
      <c r="X97" s="8"/>
      <c r="Y97" s="8"/>
      <c r="Z97" s="8"/>
    </row>
    <row r="98" spans="1:26" ht="12.75" customHeight="1" x14ac:dyDescent="0.25">
      <c r="A98" s="133"/>
      <c r="B98" s="8"/>
      <c r="C98" s="8"/>
      <c r="D98" s="8"/>
      <c r="E98" s="8"/>
      <c r="F98" s="8"/>
      <c r="G98" s="8"/>
      <c r="H98" s="8"/>
      <c r="I98" s="8"/>
      <c r="J98" s="8"/>
      <c r="K98" s="8"/>
      <c r="L98" s="94"/>
      <c r="M98" s="8"/>
      <c r="N98" s="8"/>
      <c r="O98" s="8"/>
      <c r="P98" s="8"/>
      <c r="Q98" s="8"/>
      <c r="R98" s="8"/>
      <c r="S98" s="8"/>
      <c r="T98" s="8"/>
      <c r="U98" s="8"/>
      <c r="V98" s="8"/>
      <c r="W98" s="8"/>
      <c r="X98" s="8"/>
      <c r="Y98" s="8"/>
      <c r="Z98" s="8"/>
    </row>
    <row r="99" spans="1:26" ht="12.75" customHeight="1" x14ac:dyDescent="0.25">
      <c r="A99" s="133"/>
      <c r="B99" s="8"/>
      <c r="C99" s="8"/>
      <c r="D99" s="8"/>
      <c r="E99" s="8"/>
      <c r="F99" s="8"/>
      <c r="G99" s="8"/>
      <c r="H99" s="8"/>
      <c r="I99" s="8"/>
      <c r="J99" s="8"/>
      <c r="K99" s="8"/>
      <c r="L99" s="94"/>
      <c r="M99" s="8"/>
      <c r="N99" s="8"/>
      <c r="O99" s="8"/>
      <c r="P99" s="8"/>
      <c r="Q99" s="8"/>
      <c r="R99" s="8"/>
      <c r="S99" s="8"/>
      <c r="T99" s="8"/>
      <c r="U99" s="8"/>
      <c r="V99" s="8"/>
      <c r="W99" s="8"/>
      <c r="X99" s="8"/>
      <c r="Y99" s="8"/>
      <c r="Z99" s="8"/>
    </row>
    <row r="100" spans="1:26" ht="12.75" customHeight="1" x14ac:dyDescent="0.25">
      <c r="A100" s="133"/>
      <c r="B100" s="8"/>
      <c r="C100" s="8"/>
      <c r="D100" s="8"/>
      <c r="E100" s="8"/>
      <c r="F100" s="8"/>
      <c r="G100" s="8"/>
      <c r="H100" s="8"/>
      <c r="I100" s="8"/>
      <c r="J100" s="8"/>
      <c r="K100" s="8"/>
      <c r="L100" s="94"/>
      <c r="M100" s="8"/>
      <c r="N100" s="8"/>
      <c r="O100" s="8"/>
      <c r="P100" s="8"/>
      <c r="Q100" s="8"/>
      <c r="R100" s="8"/>
      <c r="S100" s="8"/>
      <c r="T100" s="8"/>
      <c r="U100" s="8"/>
      <c r="V100" s="8"/>
      <c r="W100" s="8"/>
      <c r="X100" s="8"/>
      <c r="Y100" s="8"/>
      <c r="Z100" s="8"/>
    </row>
    <row r="101" spans="1:26" ht="12.75" customHeight="1" x14ac:dyDescent="0.25">
      <c r="A101" s="133"/>
      <c r="B101" s="8"/>
      <c r="C101" s="8"/>
      <c r="D101" s="8"/>
      <c r="E101" s="8"/>
      <c r="F101" s="8"/>
      <c r="G101" s="8"/>
      <c r="H101" s="8"/>
      <c r="I101" s="8"/>
      <c r="J101" s="8"/>
      <c r="K101" s="8"/>
      <c r="L101" s="94"/>
      <c r="M101" s="8"/>
      <c r="N101" s="8"/>
      <c r="O101" s="8"/>
      <c r="P101" s="8"/>
      <c r="Q101" s="8"/>
      <c r="R101" s="8"/>
      <c r="S101" s="8"/>
      <c r="T101" s="8"/>
      <c r="U101" s="8"/>
      <c r="V101" s="8"/>
      <c r="W101" s="8"/>
      <c r="X101" s="8"/>
      <c r="Y101" s="8"/>
      <c r="Z101" s="8"/>
    </row>
    <row r="102" spans="1:26" ht="12.75" customHeight="1" x14ac:dyDescent="0.25">
      <c r="A102" s="133"/>
      <c r="B102" s="8"/>
      <c r="C102" s="8"/>
      <c r="D102" s="8"/>
      <c r="E102" s="8"/>
      <c r="F102" s="8"/>
      <c r="G102" s="8"/>
      <c r="H102" s="8"/>
      <c r="I102" s="8"/>
      <c r="J102" s="8"/>
      <c r="K102" s="8"/>
      <c r="L102" s="94"/>
      <c r="M102" s="8"/>
      <c r="N102" s="8"/>
      <c r="O102" s="8"/>
      <c r="P102" s="8"/>
      <c r="Q102" s="8"/>
      <c r="R102" s="8"/>
      <c r="S102" s="8"/>
      <c r="T102" s="8"/>
      <c r="U102" s="8"/>
      <c r="V102" s="8"/>
      <c r="W102" s="8"/>
      <c r="X102" s="8"/>
      <c r="Y102" s="8"/>
      <c r="Z102" s="8"/>
    </row>
    <row r="103" spans="1:26" ht="12.75" customHeight="1" x14ac:dyDescent="0.25">
      <c r="A103" s="133"/>
      <c r="B103" s="8"/>
      <c r="C103" s="8"/>
      <c r="D103" s="8"/>
      <c r="E103" s="8"/>
      <c r="F103" s="8"/>
      <c r="G103" s="8"/>
      <c r="H103" s="8"/>
      <c r="I103" s="8"/>
      <c r="J103" s="8"/>
      <c r="K103" s="8"/>
      <c r="L103" s="94"/>
      <c r="M103" s="8"/>
      <c r="N103" s="8"/>
      <c r="O103" s="8"/>
      <c r="P103" s="8"/>
      <c r="Q103" s="8"/>
      <c r="R103" s="8"/>
      <c r="S103" s="8"/>
      <c r="T103" s="8"/>
      <c r="U103" s="8"/>
      <c r="V103" s="8"/>
      <c r="W103" s="8"/>
      <c r="X103" s="8"/>
      <c r="Y103" s="8"/>
      <c r="Z103" s="8"/>
    </row>
    <row r="104" spans="1:26" ht="12.75" customHeight="1" x14ac:dyDescent="0.25">
      <c r="A104" s="133"/>
      <c r="B104" s="8"/>
      <c r="C104" s="8"/>
      <c r="D104" s="8"/>
      <c r="E104" s="8"/>
      <c r="F104" s="8"/>
      <c r="G104" s="8"/>
      <c r="H104" s="8"/>
      <c r="I104" s="8"/>
      <c r="J104" s="8"/>
      <c r="K104" s="8"/>
      <c r="L104" s="94"/>
      <c r="M104" s="8"/>
      <c r="N104" s="8"/>
      <c r="O104" s="8"/>
      <c r="P104" s="8"/>
      <c r="Q104" s="8"/>
      <c r="R104" s="8"/>
      <c r="S104" s="8"/>
      <c r="T104" s="8"/>
      <c r="U104" s="8"/>
      <c r="V104" s="8"/>
      <c r="W104" s="8"/>
      <c r="X104" s="8"/>
      <c r="Y104" s="8"/>
      <c r="Z104" s="8"/>
    </row>
    <row r="105" spans="1:26" ht="12.75" customHeight="1" x14ac:dyDescent="0.25">
      <c r="A105" s="133"/>
      <c r="B105" s="8"/>
      <c r="C105" s="8"/>
      <c r="D105" s="8"/>
      <c r="E105" s="8"/>
      <c r="F105" s="8"/>
      <c r="G105" s="8"/>
      <c r="H105" s="8"/>
      <c r="I105" s="8"/>
      <c r="J105" s="8"/>
      <c r="K105" s="8"/>
      <c r="L105" s="94"/>
      <c r="M105" s="8"/>
      <c r="N105" s="8"/>
      <c r="O105" s="8"/>
      <c r="P105" s="8"/>
      <c r="Q105" s="8"/>
      <c r="R105" s="8"/>
      <c r="S105" s="8"/>
      <c r="T105" s="8"/>
      <c r="U105" s="8"/>
      <c r="V105" s="8"/>
      <c r="W105" s="8"/>
      <c r="X105" s="8"/>
      <c r="Y105" s="8"/>
      <c r="Z105" s="8"/>
    </row>
    <row r="106" spans="1:26" ht="12.75" customHeight="1" x14ac:dyDescent="0.25">
      <c r="A106" s="133"/>
      <c r="B106" s="8"/>
      <c r="C106" s="8"/>
      <c r="D106" s="8"/>
      <c r="E106" s="8"/>
      <c r="F106" s="8"/>
      <c r="G106" s="8"/>
      <c r="H106" s="8"/>
      <c r="I106" s="8"/>
      <c r="J106" s="8"/>
      <c r="K106" s="8"/>
      <c r="L106" s="94"/>
      <c r="M106" s="8"/>
      <c r="N106" s="8"/>
      <c r="O106" s="8"/>
      <c r="P106" s="8"/>
      <c r="Q106" s="8"/>
      <c r="R106" s="8"/>
      <c r="S106" s="8"/>
      <c r="T106" s="8"/>
      <c r="U106" s="8"/>
      <c r="V106" s="8"/>
      <c r="W106" s="8"/>
      <c r="X106" s="8"/>
      <c r="Y106" s="8"/>
      <c r="Z106" s="8"/>
    </row>
    <row r="107" spans="1:26" ht="12.75" customHeight="1" x14ac:dyDescent="0.25">
      <c r="A107" s="133"/>
      <c r="B107" s="8"/>
      <c r="C107" s="8"/>
      <c r="D107" s="8"/>
      <c r="E107" s="8"/>
      <c r="F107" s="8"/>
      <c r="G107" s="8"/>
      <c r="H107" s="8"/>
      <c r="I107" s="8"/>
      <c r="J107" s="8"/>
      <c r="K107" s="8"/>
      <c r="L107" s="94"/>
      <c r="M107" s="8"/>
      <c r="N107" s="8"/>
      <c r="O107" s="8"/>
      <c r="P107" s="8"/>
      <c r="Q107" s="8"/>
      <c r="R107" s="8"/>
      <c r="S107" s="8"/>
      <c r="T107" s="8"/>
      <c r="U107" s="8"/>
      <c r="V107" s="8"/>
      <c r="W107" s="8"/>
      <c r="X107" s="8"/>
      <c r="Y107" s="8"/>
      <c r="Z107" s="8"/>
    </row>
    <row r="108" spans="1:26" ht="12.75" customHeight="1" x14ac:dyDescent="0.25">
      <c r="A108" s="133"/>
      <c r="B108" s="8"/>
      <c r="C108" s="8"/>
      <c r="D108" s="8"/>
      <c r="E108" s="8"/>
      <c r="F108" s="8"/>
      <c r="G108" s="8"/>
      <c r="H108" s="8"/>
      <c r="I108" s="8"/>
      <c r="J108" s="8"/>
      <c r="K108" s="8"/>
      <c r="L108" s="94"/>
      <c r="M108" s="8"/>
      <c r="N108" s="8"/>
      <c r="O108" s="8"/>
      <c r="P108" s="8"/>
      <c r="Q108" s="8"/>
      <c r="R108" s="8"/>
      <c r="S108" s="8"/>
      <c r="T108" s="8"/>
      <c r="U108" s="8"/>
      <c r="V108" s="8"/>
      <c r="W108" s="8"/>
      <c r="X108" s="8"/>
      <c r="Y108" s="8"/>
      <c r="Z108" s="8"/>
    </row>
    <row r="109" spans="1:26" ht="12.75" customHeight="1" x14ac:dyDescent="0.25">
      <c r="A109" s="133"/>
      <c r="B109" s="8"/>
      <c r="C109" s="8"/>
      <c r="D109" s="8"/>
      <c r="E109" s="8"/>
      <c r="F109" s="8"/>
      <c r="G109" s="8"/>
      <c r="H109" s="8"/>
      <c r="I109" s="8"/>
      <c r="J109" s="8"/>
      <c r="K109" s="8"/>
      <c r="L109" s="94"/>
      <c r="M109" s="8"/>
      <c r="N109" s="8"/>
      <c r="O109" s="8"/>
      <c r="P109" s="8"/>
      <c r="Q109" s="8"/>
      <c r="R109" s="8"/>
      <c r="S109" s="8"/>
      <c r="T109" s="8"/>
      <c r="U109" s="8"/>
      <c r="V109" s="8"/>
      <c r="W109" s="8"/>
      <c r="X109" s="8"/>
      <c r="Y109" s="8"/>
      <c r="Z109" s="8"/>
    </row>
    <row r="110" spans="1:26" ht="12.75" customHeight="1" x14ac:dyDescent="0.25">
      <c r="A110" s="133"/>
      <c r="B110" s="8"/>
      <c r="C110" s="8"/>
      <c r="D110" s="8"/>
      <c r="E110" s="8"/>
      <c r="F110" s="8"/>
      <c r="G110" s="8"/>
      <c r="H110" s="8"/>
      <c r="I110" s="8"/>
      <c r="J110" s="8"/>
      <c r="K110" s="8"/>
      <c r="L110" s="94"/>
      <c r="M110" s="8"/>
      <c r="N110" s="8"/>
      <c r="O110" s="8"/>
      <c r="P110" s="8"/>
      <c r="Q110" s="8"/>
      <c r="R110" s="8"/>
      <c r="S110" s="8"/>
      <c r="T110" s="8"/>
      <c r="U110" s="8"/>
      <c r="V110" s="8"/>
      <c r="W110" s="8"/>
      <c r="X110" s="8"/>
      <c r="Y110" s="8"/>
      <c r="Z110" s="8"/>
    </row>
    <row r="111" spans="1:26" ht="12.75" customHeight="1" x14ac:dyDescent="0.25">
      <c r="A111" s="133"/>
      <c r="B111" s="8"/>
      <c r="C111" s="8"/>
      <c r="D111" s="8"/>
      <c r="E111" s="8"/>
      <c r="F111" s="8"/>
      <c r="G111" s="8"/>
      <c r="H111" s="8"/>
      <c r="I111" s="8"/>
      <c r="J111" s="8"/>
      <c r="K111" s="8"/>
      <c r="L111" s="94"/>
      <c r="M111" s="8"/>
      <c r="N111" s="8"/>
      <c r="O111" s="8"/>
      <c r="P111" s="8"/>
      <c r="Q111" s="8"/>
      <c r="R111" s="8"/>
      <c r="S111" s="8"/>
      <c r="T111" s="8"/>
      <c r="U111" s="8"/>
      <c r="V111" s="8"/>
      <c r="W111" s="8"/>
      <c r="X111" s="8"/>
      <c r="Y111" s="8"/>
      <c r="Z111" s="8"/>
    </row>
    <row r="112" spans="1:26" ht="12.75" customHeight="1" x14ac:dyDescent="0.25">
      <c r="A112" s="133"/>
      <c r="B112" s="8"/>
      <c r="C112" s="8"/>
      <c r="D112" s="8"/>
      <c r="E112" s="8"/>
      <c r="F112" s="8"/>
      <c r="G112" s="8"/>
      <c r="H112" s="8"/>
      <c r="I112" s="8"/>
      <c r="J112" s="8"/>
      <c r="K112" s="8"/>
      <c r="L112" s="94"/>
      <c r="M112" s="8"/>
      <c r="N112" s="8"/>
      <c r="O112" s="8"/>
      <c r="P112" s="8"/>
      <c r="Q112" s="8"/>
      <c r="R112" s="8"/>
      <c r="S112" s="8"/>
      <c r="T112" s="8"/>
      <c r="U112" s="8"/>
      <c r="V112" s="8"/>
      <c r="W112" s="8"/>
      <c r="X112" s="8"/>
      <c r="Y112" s="8"/>
      <c r="Z112" s="8"/>
    </row>
    <row r="113" spans="1:26" ht="12.75" customHeight="1" x14ac:dyDescent="0.25">
      <c r="A113" s="133"/>
      <c r="B113" s="8"/>
      <c r="C113" s="8"/>
      <c r="D113" s="8"/>
      <c r="E113" s="8"/>
      <c r="F113" s="8"/>
      <c r="G113" s="8"/>
      <c r="H113" s="8"/>
      <c r="I113" s="8"/>
      <c r="J113" s="8"/>
      <c r="K113" s="8"/>
      <c r="L113" s="94"/>
      <c r="M113" s="8"/>
      <c r="N113" s="8"/>
      <c r="O113" s="8"/>
      <c r="P113" s="8"/>
      <c r="Q113" s="8"/>
      <c r="R113" s="8"/>
      <c r="S113" s="8"/>
      <c r="T113" s="8"/>
      <c r="U113" s="8"/>
      <c r="V113" s="8"/>
      <c r="W113" s="8"/>
      <c r="X113" s="8"/>
      <c r="Y113" s="8"/>
      <c r="Z113" s="8"/>
    </row>
    <row r="114" spans="1:26" ht="12.75" customHeight="1" x14ac:dyDescent="0.25">
      <c r="A114" s="133"/>
      <c r="B114" s="8"/>
      <c r="C114" s="8"/>
      <c r="D114" s="8"/>
      <c r="E114" s="8"/>
      <c r="F114" s="8"/>
      <c r="G114" s="8"/>
      <c r="H114" s="8"/>
      <c r="I114" s="8"/>
      <c r="J114" s="8"/>
      <c r="K114" s="8"/>
      <c r="L114" s="94"/>
      <c r="M114" s="8"/>
      <c r="N114" s="8"/>
      <c r="O114" s="8"/>
      <c r="P114" s="8"/>
      <c r="Q114" s="8"/>
      <c r="R114" s="8"/>
      <c r="S114" s="8"/>
      <c r="T114" s="8"/>
      <c r="U114" s="8"/>
      <c r="V114" s="8"/>
      <c r="W114" s="8"/>
      <c r="X114" s="8"/>
      <c r="Y114" s="8"/>
      <c r="Z114" s="8"/>
    </row>
    <row r="115" spans="1:26" ht="12.75" customHeight="1" x14ac:dyDescent="0.25">
      <c r="A115" s="133"/>
      <c r="B115" s="8"/>
      <c r="C115" s="8"/>
      <c r="D115" s="8"/>
      <c r="E115" s="8"/>
      <c r="F115" s="8"/>
      <c r="G115" s="8"/>
      <c r="H115" s="8"/>
      <c r="I115" s="8"/>
      <c r="J115" s="8"/>
      <c r="K115" s="8"/>
      <c r="L115" s="94"/>
      <c r="M115" s="8"/>
      <c r="N115" s="8"/>
      <c r="O115" s="8"/>
      <c r="P115" s="8"/>
      <c r="Q115" s="8"/>
      <c r="R115" s="8"/>
      <c r="S115" s="8"/>
      <c r="T115" s="8"/>
      <c r="U115" s="8"/>
      <c r="V115" s="8"/>
      <c r="W115" s="8"/>
      <c r="X115" s="8"/>
      <c r="Y115" s="8"/>
      <c r="Z115" s="8"/>
    </row>
    <row r="116" spans="1:26" ht="12.75" customHeight="1" x14ac:dyDescent="0.25">
      <c r="A116" s="133"/>
      <c r="B116" s="8"/>
      <c r="C116" s="8"/>
      <c r="D116" s="8"/>
      <c r="E116" s="8"/>
      <c r="F116" s="8"/>
      <c r="G116" s="8"/>
      <c r="H116" s="8"/>
      <c r="I116" s="8"/>
      <c r="J116" s="8"/>
      <c r="K116" s="8"/>
      <c r="L116" s="94"/>
      <c r="M116" s="8"/>
      <c r="N116" s="8"/>
      <c r="O116" s="8"/>
      <c r="P116" s="8"/>
      <c r="Q116" s="8"/>
      <c r="R116" s="8"/>
      <c r="S116" s="8"/>
      <c r="T116" s="8"/>
      <c r="U116" s="8"/>
      <c r="V116" s="8"/>
      <c r="W116" s="8"/>
      <c r="X116" s="8"/>
      <c r="Y116" s="8"/>
      <c r="Z116" s="8"/>
    </row>
    <row r="117" spans="1:26" ht="12.75" customHeight="1" x14ac:dyDescent="0.25">
      <c r="A117" s="133"/>
      <c r="B117" s="8"/>
      <c r="C117" s="8"/>
      <c r="D117" s="8"/>
      <c r="E117" s="8"/>
      <c r="F117" s="8"/>
      <c r="G117" s="8"/>
      <c r="H117" s="8"/>
      <c r="I117" s="8"/>
      <c r="J117" s="8"/>
      <c r="K117" s="8"/>
      <c r="L117" s="94"/>
      <c r="M117" s="8"/>
      <c r="N117" s="8"/>
      <c r="O117" s="8"/>
      <c r="P117" s="8"/>
      <c r="Q117" s="8"/>
      <c r="R117" s="8"/>
      <c r="S117" s="8"/>
      <c r="T117" s="8"/>
      <c r="U117" s="8"/>
      <c r="V117" s="8"/>
      <c r="W117" s="8"/>
      <c r="X117" s="8"/>
      <c r="Y117" s="8"/>
      <c r="Z117" s="8"/>
    </row>
    <row r="118" spans="1:26" ht="12.75" customHeight="1" x14ac:dyDescent="0.25">
      <c r="A118" s="133"/>
      <c r="B118" s="8"/>
      <c r="C118" s="8"/>
      <c r="D118" s="8"/>
      <c r="E118" s="8"/>
      <c r="F118" s="8"/>
      <c r="G118" s="8"/>
      <c r="H118" s="8"/>
      <c r="I118" s="8"/>
      <c r="J118" s="8"/>
      <c r="K118" s="8"/>
      <c r="L118" s="94"/>
      <c r="M118" s="8"/>
      <c r="N118" s="8"/>
      <c r="O118" s="8"/>
      <c r="P118" s="8"/>
      <c r="Q118" s="8"/>
      <c r="R118" s="8"/>
      <c r="S118" s="8"/>
      <c r="T118" s="8"/>
      <c r="U118" s="8"/>
      <c r="V118" s="8"/>
      <c r="W118" s="8"/>
      <c r="X118" s="8"/>
      <c r="Y118" s="8"/>
      <c r="Z118" s="8"/>
    </row>
    <row r="119" spans="1:26" ht="12.75" customHeight="1" x14ac:dyDescent="0.25">
      <c r="A119" s="133"/>
      <c r="B119" s="8"/>
      <c r="C119" s="8"/>
      <c r="D119" s="8"/>
      <c r="E119" s="8"/>
      <c r="F119" s="8"/>
      <c r="G119" s="8"/>
      <c r="H119" s="8"/>
      <c r="I119" s="8"/>
      <c r="J119" s="8"/>
      <c r="K119" s="8"/>
      <c r="L119" s="94"/>
      <c r="M119" s="8"/>
      <c r="N119" s="8"/>
      <c r="O119" s="8"/>
      <c r="P119" s="8"/>
      <c r="Q119" s="8"/>
      <c r="R119" s="8"/>
      <c r="S119" s="8"/>
      <c r="T119" s="8"/>
      <c r="U119" s="8"/>
      <c r="V119" s="8"/>
      <c r="W119" s="8"/>
      <c r="X119" s="8"/>
      <c r="Y119" s="8"/>
      <c r="Z119" s="8"/>
    </row>
    <row r="120" spans="1:26" ht="12.75" customHeight="1" x14ac:dyDescent="0.25">
      <c r="A120" s="133"/>
      <c r="B120" s="8"/>
      <c r="C120" s="8"/>
      <c r="D120" s="8"/>
      <c r="E120" s="8"/>
      <c r="F120" s="8"/>
      <c r="G120" s="8"/>
      <c r="H120" s="8"/>
      <c r="I120" s="8"/>
      <c r="J120" s="8"/>
      <c r="K120" s="8"/>
      <c r="L120" s="94"/>
      <c r="M120" s="8"/>
      <c r="N120" s="8"/>
      <c r="O120" s="8"/>
      <c r="P120" s="8"/>
      <c r="Q120" s="8"/>
      <c r="R120" s="8"/>
      <c r="S120" s="8"/>
      <c r="T120" s="8"/>
      <c r="U120" s="8"/>
      <c r="V120" s="8"/>
      <c r="W120" s="8"/>
      <c r="X120" s="8"/>
      <c r="Y120" s="8"/>
      <c r="Z120" s="8"/>
    </row>
    <row r="121" spans="1:26" ht="12.75" customHeight="1" x14ac:dyDescent="0.25">
      <c r="A121" s="133"/>
      <c r="B121" s="8"/>
      <c r="C121" s="8"/>
      <c r="D121" s="8"/>
      <c r="E121" s="8"/>
      <c r="F121" s="8"/>
      <c r="G121" s="8"/>
      <c r="H121" s="8"/>
      <c r="I121" s="8"/>
      <c r="J121" s="8"/>
      <c r="K121" s="8"/>
      <c r="L121" s="94"/>
      <c r="M121" s="8"/>
      <c r="N121" s="8"/>
      <c r="O121" s="8"/>
      <c r="P121" s="8"/>
      <c r="Q121" s="8"/>
      <c r="R121" s="8"/>
      <c r="S121" s="8"/>
      <c r="T121" s="8"/>
      <c r="U121" s="8"/>
      <c r="V121" s="8"/>
      <c r="W121" s="8"/>
      <c r="X121" s="8"/>
      <c r="Y121" s="8"/>
      <c r="Z121" s="8"/>
    </row>
    <row r="122" spans="1:26" ht="12.75" customHeight="1" x14ac:dyDescent="0.25">
      <c r="A122" s="133"/>
      <c r="B122" s="8"/>
      <c r="C122" s="8"/>
      <c r="D122" s="8"/>
      <c r="E122" s="8"/>
      <c r="F122" s="8"/>
      <c r="G122" s="8"/>
      <c r="H122" s="8"/>
      <c r="I122" s="8"/>
      <c r="J122" s="8"/>
      <c r="K122" s="8"/>
      <c r="L122" s="94"/>
      <c r="M122" s="8"/>
      <c r="N122" s="8"/>
      <c r="O122" s="8"/>
      <c r="P122" s="8"/>
      <c r="Q122" s="8"/>
      <c r="R122" s="8"/>
      <c r="S122" s="8"/>
      <c r="T122" s="8"/>
      <c r="U122" s="8"/>
      <c r="V122" s="8"/>
      <c r="W122" s="8"/>
      <c r="X122" s="8"/>
      <c r="Y122" s="8"/>
      <c r="Z122" s="8"/>
    </row>
    <row r="123" spans="1:26" ht="12.75" customHeight="1" x14ac:dyDescent="0.25">
      <c r="A123" s="133"/>
      <c r="B123" s="8"/>
      <c r="C123" s="8"/>
      <c r="D123" s="8"/>
      <c r="E123" s="8"/>
      <c r="F123" s="8"/>
      <c r="G123" s="8"/>
      <c r="H123" s="8"/>
      <c r="I123" s="8"/>
      <c r="J123" s="8"/>
      <c r="K123" s="8"/>
      <c r="L123" s="94"/>
      <c r="M123" s="8"/>
      <c r="N123" s="8"/>
      <c r="O123" s="8"/>
      <c r="P123" s="8"/>
      <c r="Q123" s="8"/>
      <c r="R123" s="8"/>
      <c r="S123" s="8"/>
      <c r="T123" s="8"/>
      <c r="U123" s="8"/>
      <c r="V123" s="8"/>
      <c r="W123" s="8"/>
      <c r="X123" s="8"/>
      <c r="Y123" s="8"/>
      <c r="Z123" s="8"/>
    </row>
    <row r="124" spans="1:26" ht="12.75" customHeight="1" x14ac:dyDescent="0.25">
      <c r="A124" s="133"/>
      <c r="B124" s="8"/>
      <c r="C124" s="8"/>
      <c r="D124" s="8"/>
      <c r="E124" s="8"/>
      <c r="F124" s="8"/>
      <c r="G124" s="8"/>
      <c r="H124" s="8"/>
      <c r="I124" s="8"/>
      <c r="J124" s="8"/>
      <c r="K124" s="8"/>
      <c r="L124" s="94"/>
      <c r="M124" s="8"/>
      <c r="N124" s="8"/>
      <c r="O124" s="8"/>
      <c r="P124" s="8"/>
      <c r="Q124" s="8"/>
      <c r="R124" s="8"/>
      <c r="S124" s="8"/>
      <c r="T124" s="8"/>
      <c r="U124" s="8"/>
      <c r="V124" s="8"/>
      <c r="W124" s="8"/>
      <c r="X124" s="8"/>
      <c r="Y124" s="8"/>
      <c r="Z124" s="8"/>
    </row>
    <row r="125" spans="1:26" ht="12.75" customHeight="1" x14ac:dyDescent="0.25">
      <c r="A125" s="133"/>
      <c r="B125" s="8"/>
      <c r="C125" s="8"/>
      <c r="D125" s="8"/>
      <c r="E125" s="8"/>
      <c r="F125" s="8"/>
      <c r="G125" s="8"/>
      <c r="H125" s="8"/>
      <c r="I125" s="8"/>
      <c r="J125" s="8"/>
      <c r="K125" s="8"/>
      <c r="L125" s="94"/>
      <c r="M125" s="8"/>
      <c r="N125" s="8"/>
      <c r="O125" s="8"/>
      <c r="P125" s="8"/>
      <c r="Q125" s="8"/>
      <c r="R125" s="8"/>
      <c r="S125" s="8"/>
      <c r="T125" s="8"/>
      <c r="U125" s="8"/>
      <c r="V125" s="8"/>
      <c r="W125" s="8"/>
      <c r="X125" s="8"/>
      <c r="Y125" s="8"/>
      <c r="Z125" s="8"/>
    </row>
    <row r="126" spans="1:26" ht="12.75" customHeight="1" x14ac:dyDescent="0.25">
      <c r="A126" s="133"/>
      <c r="B126" s="8"/>
      <c r="C126" s="8"/>
      <c r="D126" s="8"/>
      <c r="E126" s="8"/>
      <c r="F126" s="8"/>
      <c r="G126" s="8"/>
      <c r="H126" s="8"/>
      <c r="I126" s="8"/>
      <c r="J126" s="8"/>
      <c r="K126" s="8"/>
      <c r="L126" s="94"/>
      <c r="M126" s="8"/>
      <c r="N126" s="8"/>
      <c r="O126" s="8"/>
      <c r="P126" s="8"/>
      <c r="Q126" s="8"/>
      <c r="R126" s="8"/>
      <c r="S126" s="8"/>
      <c r="T126" s="8"/>
      <c r="U126" s="8"/>
      <c r="V126" s="8"/>
      <c r="W126" s="8"/>
      <c r="X126" s="8"/>
      <c r="Y126" s="8"/>
      <c r="Z126" s="8"/>
    </row>
    <row r="127" spans="1:26" ht="12.75" customHeight="1" x14ac:dyDescent="0.25">
      <c r="A127" s="133"/>
      <c r="B127" s="8"/>
      <c r="C127" s="8"/>
      <c r="D127" s="8"/>
      <c r="E127" s="8"/>
      <c r="F127" s="8"/>
      <c r="G127" s="8"/>
      <c r="H127" s="8"/>
      <c r="I127" s="8"/>
      <c r="J127" s="8"/>
      <c r="K127" s="8"/>
      <c r="L127" s="94"/>
      <c r="M127" s="8"/>
      <c r="N127" s="8"/>
      <c r="O127" s="8"/>
      <c r="P127" s="8"/>
      <c r="Q127" s="8"/>
      <c r="R127" s="8"/>
      <c r="S127" s="8"/>
      <c r="T127" s="8"/>
      <c r="U127" s="8"/>
      <c r="V127" s="8"/>
      <c r="W127" s="8"/>
      <c r="X127" s="8"/>
      <c r="Y127" s="8"/>
      <c r="Z127" s="8"/>
    </row>
    <row r="128" spans="1:26" ht="12.75" customHeight="1" x14ac:dyDescent="0.25">
      <c r="A128" s="133"/>
      <c r="B128" s="8"/>
      <c r="C128" s="8"/>
      <c r="D128" s="8"/>
      <c r="E128" s="8"/>
      <c r="F128" s="8"/>
      <c r="G128" s="8"/>
      <c r="H128" s="8"/>
      <c r="I128" s="8"/>
      <c r="J128" s="8"/>
      <c r="K128" s="8"/>
      <c r="L128" s="94"/>
      <c r="M128" s="8"/>
      <c r="N128" s="8"/>
      <c r="O128" s="8"/>
      <c r="P128" s="8"/>
      <c r="Q128" s="8"/>
      <c r="R128" s="8"/>
      <c r="S128" s="8"/>
      <c r="T128" s="8"/>
      <c r="U128" s="8"/>
      <c r="V128" s="8"/>
      <c r="W128" s="8"/>
      <c r="X128" s="8"/>
      <c r="Y128" s="8"/>
      <c r="Z128" s="8"/>
    </row>
    <row r="129" spans="1:26" ht="12.75" customHeight="1" x14ac:dyDescent="0.25">
      <c r="A129" s="133"/>
      <c r="B129" s="8"/>
      <c r="C129" s="8"/>
      <c r="D129" s="8"/>
      <c r="E129" s="8"/>
      <c r="F129" s="8"/>
      <c r="G129" s="8"/>
      <c r="H129" s="8"/>
      <c r="I129" s="8"/>
      <c r="J129" s="8"/>
      <c r="K129" s="8"/>
      <c r="L129" s="94"/>
      <c r="M129" s="8"/>
      <c r="N129" s="8"/>
      <c r="O129" s="8"/>
      <c r="P129" s="8"/>
      <c r="Q129" s="8"/>
      <c r="R129" s="8"/>
      <c r="S129" s="8"/>
      <c r="T129" s="8"/>
      <c r="U129" s="8"/>
      <c r="V129" s="8"/>
      <c r="W129" s="8"/>
      <c r="X129" s="8"/>
      <c r="Y129" s="8"/>
      <c r="Z129" s="8"/>
    </row>
    <row r="130" spans="1:26" ht="12.75" customHeight="1" x14ac:dyDescent="0.25">
      <c r="A130" s="133"/>
      <c r="B130" s="8"/>
      <c r="C130" s="8"/>
      <c r="D130" s="8"/>
      <c r="E130" s="8"/>
      <c r="F130" s="8"/>
      <c r="G130" s="8"/>
      <c r="H130" s="8"/>
      <c r="I130" s="8"/>
      <c r="J130" s="8"/>
      <c r="K130" s="8"/>
      <c r="L130" s="94"/>
      <c r="M130" s="8"/>
      <c r="N130" s="8"/>
      <c r="O130" s="8"/>
      <c r="P130" s="8"/>
      <c r="Q130" s="8"/>
      <c r="R130" s="8"/>
      <c r="S130" s="8"/>
      <c r="T130" s="8"/>
      <c r="U130" s="8"/>
      <c r="V130" s="8"/>
      <c r="W130" s="8"/>
      <c r="X130" s="8"/>
      <c r="Y130" s="8"/>
      <c r="Z130" s="8"/>
    </row>
    <row r="131" spans="1:26" ht="12.75" customHeight="1" x14ac:dyDescent="0.25">
      <c r="A131" s="133"/>
      <c r="B131" s="8"/>
      <c r="C131" s="8"/>
      <c r="D131" s="8"/>
      <c r="E131" s="8"/>
      <c r="F131" s="8"/>
      <c r="G131" s="8"/>
      <c r="H131" s="8"/>
      <c r="I131" s="8"/>
      <c r="J131" s="8"/>
      <c r="K131" s="8"/>
      <c r="L131" s="94"/>
      <c r="M131" s="8"/>
      <c r="N131" s="8"/>
      <c r="O131" s="8"/>
      <c r="P131" s="8"/>
      <c r="Q131" s="8"/>
      <c r="R131" s="8"/>
      <c r="S131" s="8"/>
      <c r="T131" s="8"/>
      <c r="U131" s="8"/>
      <c r="V131" s="8"/>
      <c r="W131" s="8"/>
      <c r="X131" s="8"/>
      <c r="Y131" s="8"/>
      <c r="Z131" s="8"/>
    </row>
    <row r="132" spans="1:26" ht="12.75" customHeight="1" x14ac:dyDescent="0.25">
      <c r="A132" s="133"/>
      <c r="B132" s="8"/>
      <c r="C132" s="8"/>
      <c r="D132" s="8"/>
      <c r="E132" s="8"/>
      <c r="F132" s="8"/>
      <c r="G132" s="8"/>
      <c r="H132" s="8"/>
      <c r="I132" s="8"/>
      <c r="J132" s="8"/>
      <c r="K132" s="8"/>
      <c r="L132" s="94"/>
      <c r="M132" s="8"/>
      <c r="N132" s="8"/>
      <c r="O132" s="8"/>
      <c r="P132" s="8"/>
      <c r="Q132" s="8"/>
      <c r="R132" s="8"/>
      <c r="S132" s="8"/>
      <c r="T132" s="8"/>
      <c r="U132" s="8"/>
      <c r="V132" s="8"/>
      <c r="W132" s="8"/>
      <c r="X132" s="8"/>
      <c r="Y132" s="8"/>
      <c r="Z132" s="8"/>
    </row>
    <row r="133" spans="1:26" ht="12.75" customHeight="1" x14ac:dyDescent="0.25">
      <c r="A133" s="133"/>
      <c r="B133" s="8"/>
      <c r="C133" s="8"/>
      <c r="D133" s="8"/>
      <c r="E133" s="8"/>
      <c r="F133" s="8"/>
      <c r="G133" s="8"/>
      <c r="H133" s="8"/>
      <c r="I133" s="8"/>
      <c r="J133" s="8"/>
      <c r="K133" s="8"/>
      <c r="L133" s="94"/>
      <c r="M133" s="8"/>
      <c r="N133" s="8"/>
      <c r="O133" s="8"/>
      <c r="P133" s="8"/>
      <c r="Q133" s="8"/>
      <c r="R133" s="8"/>
      <c r="S133" s="8"/>
      <c r="T133" s="8"/>
      <c r="U133" s="8"/>
      <c r="V133" s="8"/>
      <c r="W133" s="8"/>
      <c r="X133" s="8"/>
      <c r="Y133" s="8"/>
      <c r="Z133" s="8"/>
    </row>
    <row r="134" spans="1:26" ht="12.75" customHeight="1" x14ac:dyDescent="0.25">
      <c r="A134" s="133"/>
      <c r="B134" s="8"/>
      <c r="C134" s="8"/>
      <c r="D134" s="8"/>
      <c r="E134" s="8"/>
      <c r="F134" s="8"/>
      <c r="G134" s="8"/>
      <c r="H134" s="8"/>
      <c r="I134" s="8"/>
      <c r="J134" s="8"/>
      <c r="K134" s="8"/>
      <c r="L134" s="94"/>
      <c r="M134" s="8"/>
      <c r="N134" s="8"/>
      <c r="O134" s="8"/>
      <c r="P134" s="8"/>
      <c r="Q134" s="8"/>
      <c r="R134" s="8"/>
      <c r="S134" s="8"/>
      <c r="T134" s="8"/>
      <c r="U134" s="8"/>
      <c r="V134" s="8"/>
      <c r="W134" s="8"/>
      <c r="X134" s="8"/>
      <c r="Y134" s="8"/>
      <c r="Z134" s="8"/>
    </row>
    <row r="135" spans="1:26" ht="12.75" customHeight="1" x14ac:dyDescent="0.25">
      <c r="A135" s="133"/>
      <c r="B135" s="8"/>
      <c r="C135" s="8"/>
      <c r="D135" s="8"/>
      <c r="E135" s="8"/>
      <c r="F135" s="8"/>
      <c r="G135" s="8"/>
      <c r="H135" s="8"/>
      <c r="I135" s="8"/>
      <c r="J135" s="8"/>
      <c r="K135" s="8"/>
      <c r="L135" s="94"/>
      <c r="M135" s="8"/>
      <c r="N135" s="8"/>
      <c r="O135" s="8"/>
      <c r="P135" s="8"/>
      <c r="Q135" s="8"/>
      <c r="R135" s="8"/>
      <c r="S135" s="8"/>
      <c r="T135" s="8"/>
      <c r="U135" s="8"/>
      <c r="V135" s="8"/>
      <c r="W135" s="8"/>
      <c r="X135" s="8"/>
      <c r="Y135" s="8"/>
      <c r="Z135" s="8"/>
    </row>
    <row r="136" spans="1:26" ht="12.75" customHeight="1" x14ac:dyDescent="0.25">
      <c r="A136" s="133"/>
      <c r="B136" s="8"/>
      <c r="C136" s="8"/>
      <c r="D136" s="8"/>
      <c r="E136" s="8"/>
      <c r="F136" s="8"/>
      <c r="G136" s="8"/>
      <c r="H136" s="8"/>
      <c r="I136" s="8"/>
      <c r="J136" s="8"/>
      <c r="K136" s="8"/>
      <c r="L136" s="94"/>
      <c r="M136" s="8"/>
      <c r="N136" s="8"/>
      <c r="O136" s="8"/>
      <c r="P136" s="8"/>
      <c r="Q136" s="8"/>
      <c r="R136" s="8"/>
      <c r="S136" s="8"/>
      <c r="T136" s="8"/>
      <c r="U136" s="8"/>
      <c r="V136" s="8"/>
      <c r="W136" s="8"/>
      <c r="X136" s="8"/>
      <c r="Y136" s="8"/>
      <c r="Z136" s="8"/>
    </row>
    <row r="137" spans="1:26" ht="12.75" customHeight="1" x14ac:dyDescent="0.25">
      <c r="A137" s="133"/>
      <c r="B137" s="8"/>
      <c r="C137" s="8"/>
      <c r="D137" s="8"/>
      <c r="E137" s="8"/>
      <c r="F137" s="8"/>
      <c r="G137" s="8"/>
      <c r="H137" s="8"/>
      <c r="I137" s="8"/>
      <c r="J137" s="8"/>
      <c r="K137" s="8"/>
      <c r="L137" s="94"/>
      <c r="M137" s="8"/>
      <c r="N137" s="8"/>
      <c r="O137" s="8"/>
      <c r="P137" s="8"/>
      <c r="Q137" s="8"/>
      <c r="R137" s="8"/>
      <c r="S137" s="8"/>
      <c r="T137" s="8"/>
      <c r="U137" s="8"/>
      <c r="V137" s="8"/>
      <c r="W137" s="8"/>
      <c r="X137" s="8"/>
      <c r="Y137" s="8"/>
      <c r="Z137" s="8"/>
    </row>
    <row r="138" spans="1:26" ht="12.75" customHeight="1" x14ac:dyDescent="0.25">
      <c r="A138" s="133"/>
      <c r="B138" s="8"/>
      <c r="C138" s="8"/>
      <c r="D138" s="8"/>
      <c r="E138" s="8"/>
      <c r="F138" s="8"/>
      <c r="G138" s="8"/>
      <c r="H138" s="8"/>
      <c r="I138" s="8"/>
      <c r="J138" s="8"/>
      <c r="K138" s="8"/>
      <c r="L138" s="94"/>
      <c r="M138" s="8"/>
      <c r="N138" s="8"/>
      <c r="O138" s="8"/>
      <c r="P138" s="8"/>
      <c r="Q138" s="8"/>
      <c r="R138" s="8"/>
      <c r="S138" s="8"/>
      <c r="T138" s="8"/>
      <c r="U138" s="8"/>
      <c r="V138" s="8"/>
      <c r="W138" s="8"/>
      <c r="X138" s="8"/>
      <c r="Y138" s="8"/>
      <c r="Z138" s="8"/>
    </row>
    <row r="139" spans="1:26" ht="12.75" customHeight="1" x14ac:dyDescent="0.25">
      <c r="A139" s="133"/>
      <c r="B139" s="8"/>
      <c r="C139" s="8"/>
      <c r="D139" s="8"/>
      <c r="E139" s="8"/>
      <c r="F139" s="8"/>
      <c r="G139" s="8"/>
      <c r="H139" s="8"/>
      <c r="I139" s="8"/>
      <c r="J139" s="8"/>
      <c r="K139" s="8"/>
      <c r="L139" s="94"/>
      <c r="M139" s="8"/>
      <c r="N139" s="8"/>
      <c r="O139" s="8"/>
      <c r="P139" s="8"/>
      <c r="Q139" s="8"/>
      <c r="R139" s="8"/>
      <c r="S139" s="8"/>
      <c r="T139" s="8"/>
      <c r="U139" s="8"/>
      <c r="V139" s="8"/>
      <c r="W139" s="8"/>
      <c r="X139" s="8"/>
      <c r="Y139" s="8"/>
      <c r="Z139" s="8"/>
    </row>
    <row r="140" spans="1:26" ht="12.75" customHeight="1" x14ac:dyDescent="0.25">
      <c r="A140" s="133"/>
      <c r="B140" s="8"/>
      <c r="C140" s="8"/>
      <c r="D140" s="8"/>
      <c r="E140" s="8"/>
      <c r="F140" s="8"/>
      <c r="G140" s="8"/>
      <c r="H140" s="8"/>
      <c r="I140" s="8"/>
      <c r="J140" s="8"/>
      <c r="K140" s="8"/>
      <c r="L140" s="94"/>
      <c r="M140" s="8"/>
      <c r="N140" s="8"/>
      <c r="O140" s="8"/>
      <c r="P140" s="8"/>
      <c r="Q140" s="8"/>
      <c r="R140" s="8"/>
      <c r="S140" s="8"/>
      <c r="T140" s="8"/>
      <c r="U140" s="8"/>
      <c r="V140" s="8"/>
      <c r="W140" s="8"/>
      <c r="X140" s="8"/>
      <c r="Y140" s="8"/>
      <c r="Z140" s="8"/>
    </row>
    <row r="141" spans="1:26" ht="12.75" customHeight="1" x14ac:dyDescent="0.25">
      <c r="A141" s="133"/>
      <c r="B141" s="8"/>
      <c r="C141" s="8"/>
      <c r="D141" s="8"/>
      <c r="E141" s="8"/>
      <c r="F141" s="8"/>
      <c r="G141" s="8"/>
      <c r="H141" s="8"/>
      <c r="I141" s="8"/>
      <c r="J141" s="8"/>
      <c r="K141" s="8"/>
      <c r="L141" s="94"/>
      <c r="M141" s="8"/>
      <c r="N141" s="8"/>
      <c r="O141" s="8"/>
      <c r="P141" s="8"/>
      <c r="Q141" s="8"/>
      <c r="R141" s="8"/>
      <c r="S141" s="8"/>
      <c r="T141" s="8"/>
      <c r="U141" s="8"/>
      <c r="V141" s="8"/>
      <c r="W141" s="8"/>
      <c r="X141" s="8"/>
      <c r="Y141" s="8"/>
      <c r="Z141" s="8"/>
    </row>
    <row r="142" spans="1:26" ht="12.75" customHeight="1" x14ac:dyDescent="0.25">
      <c r="A142" s="133"/>
      <c r="B142" s="8"/>
      <c r="C142" s="8"/>
      <c r="D142" s="8"/>
      <c r="E142" s="8"/>
      <c r="F142" s="8"/>
      <c r="G142" s="8"/>
      <c r="H142" s="8"/>
      <c r="I142" s="8"/>
      <c r="J142" s="8"/>
      <c r="K142" s="8"/>
      <c r="L142" s="94"/>
      <c r="M142" s="8"/>
      <c r="N142" s="8"/>
      <c r="O142" s="8"/>
      <c r="P142" s="8"/>
      <c r="Q142" s="8"/>
      <c r="R142" s="8"/>
      <c r="S142" s="8"/>
      <c r="T142" s="8"/>
      <c r="U142" s="8"/>
      <c r="V142" s="8"/>
      <c r="W142" s="8"/>
      <c r="X142" s="8"/>
      <c r="Y142" s="8"/>
      <c r="Z142" s="8"/>
    </row>
    <row r="143" spans="1:26" ht="12.75" customHeight="1" x14ac:dyDescent="0.25">
      <c r="A143" s="133"/>
      <c r="B143" s="8"/>
      <c r="C143" s="8"/>
      <c r="D143" s="8"/>
      <c r="E143" s="8"/>
      <c r="F143" s="8"/>
      <c r="G143" s="8"/>
      <c r="H143" s="8"/>
      <c r="I143" s="8"/>
      <c r="J143" s="8"/>
      <c r="K143" s="8"/>
      <c r="L143" s="94"/>
      <c r="M143" s="8"/>
      <c r="N143" s="8"/>
      <c r="O143" s="8"/>
      <c r="P143" s="8"/>
      <c r="Q143" s="8"/>
      <c r="R143" s="8"/>
      <c r="S143" s="8"/>
      <c r="T143" s="8"/>
      <c r="U143" s="8"/>
      <c r="V143" s="8"/>
      <c r="W143" s="8"/>
      <c r="X143" s="8"/>
      <c r="Y143" s="8"/>
      <c r="Z143" s="8"/>
    </row>
    <row r="144" spans="1:26" ht="12.75" customHeight="1" x14ac:dyDescent="0.25">
      <c r="A144" s="133"/>
      <c r="B144" s="8"/>
      <c r="C144" s="8"/>
      <c r="D144" s="8"/>
      <c r="E144" s="8"/>
      <c r="F144" s="8"/>
      <c r="G144" s="8"/>
      <c r="H144" s="8"/>
      <c r="I144" s="8"/>
      <c r="J144" s="8"/>
      <c r="K144" s="8"/>
      <c r="L144" s="94"/>
      <c r="M144" s="8"/>
      <c r="N144" s="8"/>
      <c r="O144" s="8"/>
      <c r="P144" s="8"/>
      <c r="Q144" s="8"/>
      <c r="R144" s="8"/>
      <c r="S144" s="8"/>
      <c r="T144" s="8"/>
      <c r="U144" s="8"/>
      <c r="V144" s="8"/>
      <c r="W144" s="8"/>
      <c r="X144" s="8"/>
      <c r="Y144" s="8"/>
      <c r="Z144" s="8"/>
    </row>
    <row r="145" spans="1:26" ht="12.75" customHeight="1" x14ac:dyDescent="0.25">
      <c r="A145" s="133"/>
      <c r="B145" s="8"/>
      <c r="C145" s="8"/>
      <c r="D145" s="8"/>
      <c r="E145" s="8"/>
      <c r="F145" s="8"/>
      <c r="G145" s="8"/>
      <c r="H145" s="8"/>
      <c r="I145" s="8"/>
      <c r="J145" s="8"/>
      <c r="K145" s="8"/>
      <c r="L145" s="94"/>
      <c r="M145" s="8"/>
      <c r="N145" s="8"/>
      <c r="O145" s="8"/>
      <c r="P145" s="8"/>
      <c r="Q145" s="8"/>
      <c r="R145" s="8"/>
      <c r="S145" s="8"/>
      <c r="T145" s="8"/>
      <c r="U145" s="8"/>
      <c r="V145" s="8"/>
      <c r="W145" s="8"/>
      <c r="X145" s="8"/>
      <c r="Y145" s="8"/>
      <c r="Z145" s="8"/>
    </row>
    <row r="146" spans="1:26" ht="12.75" customHeight="1" x14ac:dyDescent="0.25">
      <c r="A146" s="133"/>
      <c r="B146" s="8"/>
      <c r="C146" s="8"/>
      <c r="D146" s="8"/>
      <c r="E146" s="8"/>
      <c r="F146" s="8"/>
      <c r="G146" s="8"/>
      <c r="H146" s="8"/>
      <c r="I146" s="8"/>
      <c r="J146" s="8"/>
      <c r="K146" s="8"/>
      <c r="L146" s="94"/>
      <c r="M146" s="8"/>
      <c r="N146" s="8"/>
      <c r="O146" s="8"/>
      <c r="P146" s="8"/>
      <c r="Q146" s="8"/>
      <c r="R146" s="8"/>
      <c r="S146" s="8"/>
      <c r="T146" s="8"/>
      <c r="U146" s="8"/>
      <c r="V146" s="8"/>
      <c r="W146" s="8"/>
      <c r="X146" s="8"/>
      <c r="Y146" s="8"/>
      <c r="Z146" s="8"/>
    </row>
    <row r="147" spans="1:26" ht="12.75" customHeight="1" x14ac:dyDescent="0.25">
      <c r="A147" s="133"/>
      <c r="B147" s="8"/>
      <c r="C147" s="8"/>
      <c r="D147" s="8"/>
      <c r="E147" s="8"/>
      <c r="F147" s="8"/>
      <c r="G147" s="8"/>
      <c r="H147" s="8"/>
      <c r="I147" s="8"/>
      <c r="J147" s="8"/>
      <c r="K147" s="8"/>
      <c r="L147" s="94"/>
      <c r="M147" s="8"/>
      <c r="N147" s="8"/>
      <c r="O147" s="8"/>
      <c r="P147" s="8"/>
      <c r="Q147" s="8"/>
      <c r="R147" s="8"/>
      <c r="S147" s="8"/>
      <c r="T147" s="8"/>
      <c r="U147" s="8"/>
      <c r="V147" s="8"/>
      <c r="W147" s="8"/>
      <c r="X147" s="8"/>
      <c r="Y147" s="8"/>
      <c r="Z147" s="8"/>
    </row>
    <row r="148" spans="1:26" ht="12.75" customHeight="1" x14ac:dyDescent="0.25">
      <c r="A148" s="133"/>
      <c r="B148" s="8"/>
      <c r="C148" s="8"/>
      <c r="D148" s="8"/>
      <c r="E148" s="8"/>
      <c r="F148" s="8"/>
      <c r="G148" s="8"/>
      <c r="H148" s="8"/>
      <c r="I148" s="8"/>
      <c r="J148" s="8"/>
      <c r="K148" s="8"/>
      <c r="L148" s="94"/>
      <c r="M148" s="8"/>
      <c r="N148" s="8"/>
      <c r="O148" s="8"/>
      <c r="P148" s="8"/>
      <c r="Q148" s="8"/>
      <c r="R148" s="8"/>
      <c r="S148" s="8"/>
      <c r="T148" s="8"/>
      <c r="U148" s="8"/>
      <c r="V148" s="8"/>
      <c r="W148" s="8"/>
      <c r="X148" s="8"/>
      <c r="Y148" s="8"/>
      <c r="Z148" s="8"/>
    </row>
    <row r="149" spans="1:26" ht="12.75" customHeight="1" x14ac:dyDescent="0.25">
      <c r="A149" s="133"/>
      <c r="B149" s="8"/>
      <c r="C149" s="8"/>
      <c r="D149" s="8"/>
      <c r="E149" s="8"/>
      <c r="F149" s="8"/>
      <c r="G149" s="8"/>
      <c r="H149" s="8"/>
      <c r="I149" s="8"/>
      <c r="J149" s="8"/>
      <c r="K149" s="8"/>
      <c r="L149" s="94"/>
      <c r="M149" s="8"/>
      <c r="N149" s="8"/>
      <c r="O149" s="8"/>
      <c r="P149" s="8"/>
      <c r="Q149" s="8"/>
      <c r="R149" s="8"/>
      <c r="S149" s="8"/>
      <c r="T149" s="8"/>
      <c r="U149" s="8"/>
      <c r="V149" s="8"/>
      <c r="W149" s="8"/>
      <c r="X149" s="8"/>
      <c r="Y149" s="8"/>
      <c r="Z149" s="8"/>
    </row>
    <row r="150" spans="1:26" ht="12.75" customHeight="1" x14ac:dyDescent="0.25">
      <c r="A150" s="133"/>
      <c r="B150" s="8"/>
      <c r="C150" s="8"/>
      <c r="D150" s="8"/>
      <c r="E150" s="8"/>
      <c r="F150" s="8"/>
      <c r="G150" s="8"/>
      <c r="H150" s="8"/>
      <c r="I150" s="8"/>
      <c r="J150" s="8"/>
      <c r="K150" s="8"/>
      <c r="L150" s="94"/>
      <c r="M150" s="8"/>
      <c r="N150" s="8"/>
      <c r="O150" s="8"/>
      <c r="P150" s="8"/>
      <c r="Q150" s="8"/>
      <c r="R150" s="8"/>
      <c r="S150" s="8"/>
      <c r="T150" s="8"/>
      <c r="U150" s="8"/>
      <c r="V150" s="8"/>
      <c r="W150" s="8"/>
      <c r="X150" s="8"/>
      <c r="Y150" s="8"/>
      <c r="Z150" s="8"/>
    </row>
    <row r="151" spans="1:26" ht="12.75" customHeight="1" x14ac:dyDescent="0.25">
      <c r="A151" s="133"/>
      <c r="B151" s="8"/>
      <c r="C151" s="8"/>
      <c r="D151" s="8"/>
      <c r="E151" s="8"/>
      <c r="F151" s="8"/>
      <c r="G151" s="8"/>
      <c r="H151" s="8"/>
      <c r="I151" s="8"/>
      <c r="J151" s="8"/>
      <c r="K151" s="8"/>
      <c r="L151" s="94"/>
      <c r="M151" s="8"/>
      <c r="N151" s="8"/>
      <c r="O151" s="8"/>
      <c r="P151" s="8"/>
      <c r="Q151" s="8"/>
      <c r="R151" s="8"/>
      <c r="S151" s="8"/>
      <c r="T151" s="8"/>
      <c r="U151" s="8"/>
      <c r="V151" s="8"/>
      <c r="W151" s="8"/>
      <c r="X151" s="8"/>
      <c r="Y151" s="8"/>
      <c r="Z151" s="8"/>
    </row>
    <row r="152" spans="1:26" ht="12.75" customHeight="1" x14ac:dyDescent="0.25">
      <c r="A152" s="133"/>
      <c r="B152" s="8"/>
      <c r="C152" s="8"/>
      <c r="D152" s="8"/>
      <c r="E152" s="8"/>
      <c r="F152" s="8"/>
      <c r="G152" s="8"/>
      <c r="H152" s="8"/>
      <c r="I152" s="8"/>
      <c r="J152" s="8"/>
      <c r="K152" s="8"/>
      <c r="L152" s="94"/>
      <c r="M152" s="8"/>
      <c r="N152" s="8"/>
      <c r="O152" s="8"/>
      <c r="P152" s="8"/>
      <c r="Q152" s="8"/>
      <c r="R152" s="8"/>
      <c r="S152" s="8"/>
      <c r="T152" s="8"/>
      <c r="U152" s="8"/>
      <c r="V152" s="8"/>
      <c r="W152" s="8"/>
      <c r="X152" s="8"/>
      <c r="Y152" s="8"/>
      <c r="Z152" s="8"/>
    </row>
    <row r="153" spans="1:26" ht="12.75" customHeight="1" x14ac:dyDescent="0.25">
      <c r="A153" s="133"/>
      <c r="B153" s="8"/>
      <c r="C153" s="8"/>
      <c r="D153" s="8"/>
      <c r="E153" s="8"/>
      <c r="F153" s="8"/>
      <c r="G153" s="8"/>
      <c r="H153" s="8"/>
      <c r="I153" s="8"/>
      <c r="J153" s="8"/>
      <c r="K153" s="8"/>
      <c r="L153" s="94"/>
      <c r="M153" s="8"/>
      <c r="N153" s="8"/>
      <c r="O153" s="8"/>
      <c r="P153" s="8"/>
      <c r="Q153" s="8"/>
      <c r="R153" s="8"/>
      <c r="S153" s="8"/>
      <c r="T153" s="8"/>
      <c r="U153" s="8"/>
      <c r="V153" s="8"/>
      <c r="W153" s="8"/>
      <c r="X153" s="8"/>
      <c r="Y153" s="8"/>
      <c r="Z153" s="8"/>
    </row>
    <row r="154" spans="1:26" ht="12.75" customHeight="1" x14ac:dyDescent="0.25">
      <c r="A154" s="133"/>
      <c r="B154" s="8"/>
      <c r="C154" s="8"/>
      <c r="D154" s="8"/>
      <c r="E154" s="8"/>
      <c r="F154" s="8"/>
      <c r="G154" s="8"/>
      <c r="H154" s="8"/>
      <c r="I154" s="8"/>
      <c r="J154" s="8"/>
      <c r="K154" s="8"/>
      <c r="L154" s="94"/>
      <c r="M154" s="8"/>
      <c r="N154" s="8"/>
      <c r="O154" s="8"/>
      <c r="P154" s="8"/>
      <c r="Q154" s="8"/>
      <c r="R154" s="8"/>
      <c r="S154" s="8"/>
      <c r="T154" s="8"/>
      <c r="U154" s="8"/>
      <c r="V154" s="8"/>
      <c r="W154" s="8"/>
      <c r="X154" s="8"/>
      <c r="Y154" s="8"/>
      <c r="Z154" s="8"/>
    </row>
    <row r="155" spans="1:26" ht="12.75" customHeight="1" x14ac:dyDescent="0.25">
      <c r="A155" s="133"/>
      <c r="B155" s="8"/>
      <c r="C155" s="8"/>
      <c r="D155" s="8"/>
      <c r="E155" s="8"/>
      <c r="F155" s="8"/>
      <c r="G155" s="8"/>
      <c r="H155" s="8"/>
      <c r="I155" s="8"/>
      <c r="J155" s="8"/>
      <c r="K155" s="8"/>
      <c r="L155" s="94"/>
      <c r="M155" s="8"/>
      <c r="N155" s="8"/>
      <c r="O155" s="8"/>
      <c r="P155" s="8"/>
      <c r="Q155" s="8"/>
      <c r="R155" s="8"/>
      <c r="S155" s="8"/>
      <c r="T155" s="8"/>
      <c r="U155" s="8"/>
      <c r="V155" s="8"/>
      <c r="W155" s="8"/>
      <c r="X155" s="8"/>
      <c r="Y155" s="8"/>
      <c r="Z155" s="8"/>
    </row>
    <row r="156" spans="1:26" ht="12.75" customHeight="1" x14ac:dyDescent="0.25">
      <c r="A156" s="133"/>
      <c r="B156" s="8"/>
      <c r="C156" s="8"/>
      <c r="D156" s="8"/>
      <c r="E156" s="8"/>
      <c r="F156" s="8"/>
      <c r="G156" s="8"/>
      <c r="H156" s="8"/>
      <c r="I156" s="8"/>
      <c r="J156" s="8"/>
      <c r="K156" s="8"/>
      <c r="L156" s="94"/>
      <c r="M156" s="8"/>
      <c r="N156" s="8"/>
      <c r="O156" s="8"/>
      <c r="P156" s="8"/>
      <c r="Q156" s="8"/>
      <c r="R156" s="8"/>
      <c r="S156" s="8"/>
      <c r="T156" s="8"/>
      <c r="U156" s="8"/>
      <c r="V156" s="8"/>
      <c r="W156" s="8"/>
      <c r="X156" s="8"/>
      <c r="Y156" s="8"/>
      <c r="Z156" s="8"/>
    </row>
    <row r="157" spans="1:26" ht="12.75" customHeight="1" x14ac:dyDescent="0.25">
      <c r="A157" s="133"/>
      <c r="B157" s="8"/>
      <c r="C157" s="8"/>
      <c r="D157" s="8"/>
      <c r="E157" s="8"/>
      <c r="F157" s="8"/>
      <c r="G157" s="8"/>
      <c r="H157" s="8"/>
      <c r="I157" s="8"/>
      <c r="J157" s="8"/>
      <c r="K157" s="8"/>
      <c r="L157" s="94"/>
      <c r="M157" s="8"/>
      <c r="N157" s="8"/>
      <c r="O157" s="8"/>
      <c r="P157" s="8"/>
      <c r="Q157" s="8"/>
      <c r="R157" s="8"/>
      <c r="S157" s="8"/>
      <c r="T157" s="8"/>
      <c r="U157" s="8"/>
      <c r="V157" s="8"/>
      <c r="W157" s="8"/>
      <c r="X157" s="8"/>
      <c r="Y157" s="8"/>
      <c r="Z157" s="8"/>
    </row>
    <row r="158" spans="1:26" ht="12.75" customHeight="1" x14ac:dyDescent="0.25">
      <c r="A158" s="133"/>
      <c r="B158" s="8"/>
      <c r="C158" s="8"/>
      <c r="D158" s="8"/>
      <c r="E158" s="8"/>
      <c r="F158" s="8"/>
      <c r="G158" s="8"/>
      <c r="H158" s="8"/>
      <c r="I158" s="8"/>
      <c r="J158" s="8"/>
      <c r="K158" s="8"/>
      <c r="L158" s="94"/>
      <c r="M158" s="8"/>
      <c r="N158" s="8"/>
      <c r="O158" s="8"/>
      <c r="P158" s="8"/>
      <c r="Q158" s="8"/>
      <c r="R158" s="8"/>
      <c r="S158" s="8"/>
      <c r="T158" s="8"/>
      <c r="U158" s="8"/>
      <c r="V158" s="8"/>
      <c r="W158" s="8"/>
      <c r="X158" s="8"/>
      <c r="Y158" s="8"/>
      <c r="Z158" s="8"/>
    </row>
    <row r="159" spans="1:26" ht="12.75" customHeight="1" x14ac:dyDescent="0.25">
      <c r="A159" s="133"/>
      <c r="B159" s="8"/>
      <c r="C159" s="8"/>
      <c r="D159" s="8"/>
      <c r="E159" s="8"/>
      <c r="F159" s="8"/>
      <c r="G159" s="8"/>
      <c r="H159" s="8"/>
      <c r="I159" s="8"/>
      <c r="J159" s="8"/>
      <c r="K159" s="8"/>
      <c r="L159" s="94"/>
      <c r="M159" s="8"/>
      <c r="N159" s="8"/>
      <c r="O159" s="8"/>
      <c r="P159" s="8"/>
      <c r="Q159" s="8"/>
      <c r="R159" s="8"/>
      <c r="S159" s="8"/>
      <c r="T159" s="8"/>
      <c r="U159" s="8"/>
      <c r="V159" s="8"/>
      <c r="W159" s="8"/>
      <c r="X159" s="8"/>
      <c r="Y159" s="8"/>
      <c r="Z159" s="8"/>
    </row>
    <row r="160" spans="1:26" ht="12.75" customHeight="1" x14ac:dyDescent="0.25">
      <c r="A160" s="133"/>
      <c r="B160" s="8"/>
      <c r="C160" s="8"/>
      <c r="D160" s="8"/>
      <c r="E160" s="8"/>
      <c r="F160" s="8"/>
      <c r="G160" s="8"/>
      <c r="H160" s="8"/>
      <c r="I160" s="8"/>
      <c r="J160" s="8"/>
      <c r="K160" s="8"/>
      <c r="L160" s="94"/>
      <c r="M160" s="8"/>
      <c r="N160" s="8"/>
      <c r="O160" s="8"/>
      <c r="P160" s="8"/>
      <c r="Q160" s="8"/>
      <c r="R160" s="8"/>
      <c r="S160" s="8"/>
      <c r="T160" s="8"/>
      <c r="U160" s="8"/>
      <c r="V160" s="8"/>
      <c r="W160" s="8"/>
      <c r="X160" s="8"/>
      <c r="Y160" s="8"/>
      <c r="Z160" s="8"/>
    </row>
    <row r="161" spans="1:26" ht="12.75" customHeight="1" x14ac:dyDescent="0.25">
      <c r="A161" s="133"/>
      <c r="B161" s="8"/>
      <c r="C161" s="8"/>
      <c r="D161" s="8"/>
      <c r="E161" s="8"/>
      <c r="F161" s="8"/>
      <c r="G161" s="8"/>
      <c r="H161" s="8"/>
      <c r="I161" s="8"/>
      <c r="J161" s="8"/>
      <c r="K161" s="8"/>
      <c r="L161" s="94"/>
      <c r="M161" s="8"/>
      <c r="N161" s="8"/>
      <c r="O161" s="8"/>
      <c r="P161" s="8"/>
      <c r="Q161" s="8"/>
      <c r="R161" s="8"/>
      <c r="S161" s="8"/>
      <c r="T161" s="8"/>
      <c r="U161" s="8"/>
      <c r="V161" s="8"/>
      <c r="W161" s="8"/>
      <c r="X161" s="8"/>
      <c r="Y161" s="8"/>
      <c r="Z161" s="8"/>
    </row>
    <row r="162" spans="1:26" ht="12.75" customHeight="1" x14ac:dyDescent="0.25">
      <c r="A162" s="133"/>
      <c r="B162" s="8"/>
      <c r="C162" s="8"/>
      <c r="D162" s="8"/>
      <c r="E162" s="8"/>
      <c r="F162" s="8"/>
      <c r="G162" s="8"/>
      <c r="H162" s="8"/>
      <c r="I162" s="8"/>
      <c r="J162" s="8"/>
      <c r="K162" s="8"/>
      <c r="L162" s="94"/>
      <c r="M162" s="8"/>
      <c r="N162" s="8"/>
      <c r="O162" s="8"/>
      <c r="P162" s="8"/>
      <c r="Q162" s="8"/>
      <c r="R162" s="8"/>
      <c r="S162" s="8"/>
      <c r="T162" s="8"/>
      <c r="U162" s="8"/>
      <c r="V162" s="8"/>
      <c r="W162" s="8"/>
      <c r="X162" s="8"/>
      <c r="Y162" s="8"/>
      <c r="Z162" s="8"/>
    </row>
    <row r="163" spans="1:26" ht="12.75" customHeight="1" x14ac:dyDescent="0.25">
      <c r="A163" s="133"/>
      <c r="B163" s="8"/>
      <c r="C163" s="8"/>
      <c r="D163" s="8"/>
      <c r="E163" s="8"/>
      <c r="F163" s="8"/>
      <c r="G163" s="8"/>
      <c r="H163" s="8"/>
      <c r="I163" s="8"/>
      <c r="J163" s="8"/>
      <c r="K163" s="8"/>
      <c r="L163" s="94"/>
      <c r="M163" s="8"/>
      <c r="N163" s="8"/>
      <c r="O163" s="8"/>
      <c r="P163" s="8"/>
      <c r="Q163" s="8"/>
      <c r="R163" s="8"/>
      <c r="S163" s="8"/>
      <c r="T163" s="8"/>
      <c r="U163" s="8"/>
      <c r="V163" s="8"/>
      <c r="W163" s="8"/>
      <c r="X163" s="8"/>
      <c r="Y163" s="8"/>
      <c r="Z163" s="8"/>
    </row>
    <row r="164" spans="1:26" ht="12.75" customHeight="1" x14ac:dyDescent="0.25">
      <c r="A164" s="133"/>
      <c r="B164" s="8"/>
      <c r="C164" s="8"/>
      <c r="D164" s="8"/>
      <c r="E164" s="8"/>
      <c r="F164" s="8"/>
      <c r="G164" s="8"/>
      <c r="H164" s="8"/>
      <c r="I164" s="8"/>
      <c r="J164" s="8"/>
      <c r="K164" s="8"/>
      <c r="L164" s="94"/>
      <c r="M164" s="8"/>
      <c r="N164" s="8"/>
      <c r="O164" s="8"/>
      <c r="P164" s="8"/>
      <c r="Q164" s="8"/>
      <c r="R164" s="8"/>
      <c r="S164" s="8"/>
      <c r="T164" s="8"/>
      <c r="U164" s="8"/>
      <c r="V164" s="8"/>
      <c r="W164" s="8"/>
      <c r="X164" s="8"/>
      <c r="Y164" s="8"/>
      <c r="Z164" s="8"/>
    </row>
    <row r="165" spans="1:26" ht="12.75" customHeight="1" x14ac:dyDescent="0.25">
      <c r="A165" s="133"/>
      <c r="B165" s="8"/>
      <c r="C165" s="8"/>
      <c r="D165" s="8"/>
      <c r="E165" s="8"/>
      <c r="F165" s="8"/>
      <c r="G165" s="8"/>
      <c r="H165" s="8"/>
      <c r="I165" s="8"/>
      <c r="J165" s="8"/>
      <c r="K165" s="8"/>
      <c r="L165" s="94"/>
      <c r="M165" s="8"/>
      <c r="N165" s="8"/>
      <c r="O165" s="8"/>
      <c r="P165" s="8"/>
      <c r="Q165" s="8"/>
      <c r="R165" s="8"/>
      <c r="S165" s="8"/>
      <c r="T165" s="8"/>
      <c r="U165" s="8"/>
      <c r="V165" s="8"/>
      <c r="W165" s="8"/>
      <c r="X165" s="8"/>
      <c r="Y165" s="8"/>
      <c r="Z165" s="8"/>
    </row>
    <row r="166" spans="1:26" ht="12.75" customHeight="1" x14ac:dyDescent="0.25">
      <c r="A166" s="133"/>
      <c r="B166" s="8"/>
      <c r="C166" s="8"/>
      <c r="D166" s="8"/>
      <c r="E166" s="8"/>
      <c r="F166" s="8"/>
      <c r="G166" s="8"/>
      <c r="H166" s="8"/>
      <c r="I166" s="8"/>
      <c r="J166" s="8"/>
      <c r="K166" s="8"/>
      <c r="L166" s="94"/>
      <c r="M166" s="8"/>
      <c r="N166" s="8"/>
      <c r="O166" s="8"/>
      <c r="P166" s="8"/>
      <c r="Q166" s="8"/>
      <c r="R166" s="8"/>
      <c r="S166" s="8"/>
      <c r="T166" s="8"/>
      <c r="U166" s="8"/>
      <c r="V166" s="8"/>
      <c r="W166" s="8"/>
      <c r="X166" s="8"/>
      <c r="Y166" s="8"/>
      <c r="Z166" s="8"/>
    </row>
    <row r="167" spans="1:26" ht="12.75" customHeight="1" x14ac:dyDescent="0.25">
      <c r="A167" s="133"/>
      <c r="B167" s="8"/>
      <c r="C167" s="8"/>
      <c r="D167" s="8"/>
      <c r="E167" s="8"/>
      <c r="F167" s="8"/>
      <c r="G167" s="8"/>
      <c r="H167" s="8"/>
      <c r="I167" s="8"/>
      <c r="J167" s="8"/>
      <c r="K167" s="8"/>
      <c r="L167" s="94"/>
      <c r="M167" s="8"/>
      <c r="N167" s="8"/>
      <c r="O167" s="8"/>
      <c r="P167" s="8"/>
      <c r="Q167" s="8"/>
      <c r="R167" s="8"/>
      <c r="S167" s="8"/>
      <c r="T167" s="8"/>
      <c r="U167" s="8"/>
      <c r="V167" s="8"/>
      <c r="W167" s="8"/>
      <c r="X167" s="8"/>
      <c r="Y167" s="8"/>
      <c r="Z167" s="8"/>
    </row>
    <row r="168" spans="1:26" ht="12.75" customHeight="1" x14ac:dyDescent="0.25">
      <c r="A168" s="133"/>
      <c r="B168" s="8"/>
      <c r="C168" s="8"/>
      <c r="D168" s="8"/>
      <c r="E168" s="8"/>
      <c r="F168" s="8"/>
      <c r="G168" s="8"/>
      <c r="H168" s="8"/>
      <c r="I168" s="8"/>
      <c r="J168" s="8"/>
      <c r="K168" s="8"/>
      <c r="L168" s="94"/>
      <c r="M168" s="8"/>
      <c r="N168" s="8"/>
      <c r="O168" s="8"/>
      <c r="P168" s="8"/>
      <c r="Q168" s="8"/>
      <c r="R168" s="8"/>
      <c r="S168" s="8"/>
      <c r="T168" s="8"/>
      <c r="U168" s="8"/>
      <c r="V168" s="8"/>
      <c r="W168" s="8"/>
      <c r="X168" s="8"/>
      <c r="Y168" s="8"/>
      <c r="Z168" s="8"/>
    </row>
    <row r="169" spans="1:26" ht="12.75" customHeight="1" x14ac:dyDescent="0.25">
      <c r="A169" s="133"/>
      <c r="B169" s="8"/>
      <c r="C169" s="8"/>
      <c r="D169" s="8"/>
      <c r="E169" s="8"/>
      <c r="F169" s="8"/>
      <c r="G169" s="8"/>
      <c r="H169" s="8"/>
      <c r="I169" s="8"/>
      <c r="J169" s="8"/>
      <c r="K169" s="8"/>
      <c r="L169" s="94"/>
      <c r="M169" s="8"/>
      <c r="N169" s="8"/>
      <c r="O169" s="8"/>
      <c r="P169" s="8"/>
      <c r="Q169" s="8"/>
      <c r="R169" s="8"/>
      <c r="S169" s="8"/>
      <c r="T169" s="8"/>
      <c r="U169" s="8"/>
      <c r="V169" s="8"/>
      <c r="W169" s="8"/>
      <c r="X169" s="8"/>
      <c r="Y169" s="8"/>
      <c r="Z169" s="8"/>
    </row>
    <row r="170" spans="1:26" ht="12.75" customHeight="1" x14ac:dyDescent="0.25">
      <c r="A170" s="133"/>
      <c r="B170" s="8"/>
      <c r="C170" s="8"/>
      <c r="D170" s="8"/>
      <c r="E170" s="8"/>
      <c r="F170" s="8"/>
      <c r="G170" s="8"/>
      <c r="H170" s="8"/>
      <c r="I170" s="8"/>
      <c r="J170" s="8"/>
      <c r="K170" s="8"/>
      <c r="L170" s="94"/>
      <c r="M170" s="8"/>
      <c r="N170" s="8"/>
      <c r="O170" s="8"/>
      <c r="P170" s="8"/>
      <c r="Q170" s="8"/>
      <c r="R170" s="8"/>
      <c r="S170" s="8"/>
      <c r="T170" s="8"/>
      <c r="U170" s="8"/>
      <c r="V170" s="8"/>
      <c r="W170" s="8"/>
      <c r="X170" s="8"/>
      <c r="Y170" s="8"/>
      <c r="Z170" s="8"/>
    </row>
    <row r="171" spans="1:26" ht="12.75" customHeight="1" x14ac:dyDescent="0.25">
      <c r="A171" s="133"/>
      <c r="B171" s="8"/>
      <c r="C171" s="8"/>
      <c r="D171" s="8"/>
      <c r="E171" s="8"/>
      <c r="F171" s="8"/>
      <c r="G171" s="8"/>
      <c r="H171" s="8"/>
      <c r="I171" s="8"/>
      <c r="J171" s="8"/>
      <c r="K171" s="8"/>
      <c r="L171" s="94"/>
      <c r="M171" s="8"/>
      <c r="N171" s="8"/>
      <c r="O171" s="8"/>
      <c r="P171" s="8"/>
      <c r="Q171" s="8"/>
      <c r="R171" s="8"/>
      <c r="S171" s="8"/>
      <c r="T171" s="8"/>
      <c r="U171" s="8"/>
      <c r="V171" s="8"/>
      <c r="W171" s="8"/>
      <c r="X171" s="8"/>
      <c r="Y171" s="8"/>
      <c r="Z171" s="8"/>
    </row>
    <row r="172" spans="1:26" ht="12.75" customHeight="1" x14ac:dyDescent="0.25">
      <c r="A172" s="133"/>
      <c r="B172" s="8"/>
      <c r="C172" s="8"/>
      <c r="D172" s="8"/>
      <c r="E172" s="8"/>
      <c r="F172" s="8"/>
      <c r="G172" s="8"/>
      <c r="H172" s="8"/>
      <c r="I172" s="8"/>
      <c r="J172" s="8"/>
      <c r="K172" s="8"/>
      <c r="L172" s="94"/>
      <c r="M172" s="8"/>
      <c r="N172" s="8"/>
      <c r="O172" s="8"/>
      <c r="P172" s="8"/>
      <c r="Q172" s="8"/>
      <c r="R172" s="8"/>
      <c r="S172" s="8"/>
      <c r="T172" s="8"/>
      <c r="U172" s="8"/>
      <c r="V172" s="8"/>
      <c r="W172" s="8"/>
      <c r="X172" s="8"/>
      <c r="Y172" s="8"/>
      <c r="Z172" s="8"/>
    </row>
    <row r="173" spans="1:26" ht="12.75" customHeight="1" x14ac:dyDescent="0.25">
      <c r="A173" s="133"/>
      <c r="B173" s="8"/>
      <c r="C173" s="8"/>
      <c r="D173" s="8"/>
      <c r="E173" s="8"/>
      <c r="F173" s="8"/>
      <c r="G173" s="8"/>
      <c r="H173" s="8"/>
      <c r="I173" s="8"/>
      <c r="J173" s="8"/>
      <c r="K173" s="8"/>
      <c r="L173" s="94"/>
      <c r="M173" s="8"/>
      <c r="N173" s="8"/>
      <c r="O173" s="8"/>
      <c r="P173" s="8"/>
      <c r="Q173" s="8"/>
      <c r="R173" s="8"/>
      <c r="S173" s="8"/>
      <c r="T173" s="8"/>
      <c r="U173" s="8"/>
      <c r="V173" s="8"/>
      <c r="W173" s="8"/>
      <c r="X173" s="8"/>
      <c r="Y173" s="8"/>
      <c r="Z173" s="8"/>
    </row>
    <row r="174" spans="1:26" ht="12.75" customHeight="1" x14ac:dyDescent="0.25">
      <c r="A174" s="133"/>
      <c r="B174" s="8"/>
      <c r="C174" s="8"/>
      <c r="D174" s="8"/>
      <c r="E174" s="8"/>
      <c r="F174" s="8"/>
      <c r="G174" s="8"/>
      <c r="H174" s="8"/>
      <c r="I174" s="8"/>
      <c r="J174" s="8"/>
      <c r="K174" s="8"/>
      <c r="L174" s="94"/>
      <c r="M174" s="8"/>
      <c r="N174" s="8"/>
      <c r="O174" s="8"/>
      <c r="P174" s="8"/>
      <c r="Q174" s="8"/>
      <c r="R174" s="8"/>
      <c r="S174" s="8"/>
      <c r="T174" s="8"/>
      <c r="U174" s="8"/>
      <c r="V174" s="8"/>
      <c r="W174" s="8"/>
      <c r="X174" s="8"/>
      <c r="Y174" s="8"/>
      <c r="Z174" s="8"/>
    </row>
    <row r="175" spans="1:26" ht="12.75" customHeight="1" x14ac:dyDescent="0.25">
      <c r="A175" s="133"/>
      <c r="B175" s="8"/>
      <c r="C175" s="8"/>
      <c r="D175" s="8"/>
      <c r="E175" s="8"/>
      <c r="F175" s="8"/>
      <c r="G175" s="8"/>
      <c r="H175" s="8"/>
      <c r="I175" s="8"/>
      <c r="J175" s="8"/>
      <c r="K175" s="8"/>
      <c r="L175" s="94"/>
      <c r="M175" s="8"/>
      <c r="N175" s="8"/>
      <c r="O175" s="8"/>
      <c r="P175" s="8"/>
      <c r="Q175" s="8"/>
      <c r="R175" s="8"/>
      <c r="S175" s="8"/>
      <c r="T175" s="8"/>
      <c r="U175" s="8"/>
      <c r="V175" s="8"/>
      <c r="W175" s="8"/>
      <c r="X175" s="8"/>
      <c r="Y175" s="8"/>
      <c r="Z175" s="8"/>
    </row>
    <row r="176" spans="1:26" ht="12.75" customHeight="1" x14ac:dyDescent="0.25">
      <c r="A176" s="133"/>
      <c r="B176" s="8"/>
      <c r="C176" s="8"/>
      <c r="D176" s="8"/>
      <c r="E176" s="8"/>
      <c r="F176" s="8"/>
      <c r="G176" s="8"/>
      <c r="H176" s="8"/>
      <c r="I176" s="8"/>
      <c r="J176" s="8"/>
      <c r="K176" s="8"/>
      <c r="L176" s="94"/>
      <c r="M176" s="8"/>
      <c r="N176" s="8"/>
      <c r="O176" s="8"/>
      <c r="P176" s="8"/>
      <c r="Q176" s="8"/>
      <c r="R176" s="8"/>
      <c r="S176" s="8"/>
      <c r="T176" s="8"/>
      <c r="U176" s="8"/>
      <c r="V176" s="8"/>
      <c r="W176" s="8"/>
      <c r="X176" s="8"/>
      <c r="Y176" s="8"/>
      <c r="Z176" s="8"/>
    </row>
    <row r="177" spans="1:26" ht="12.75" customHeight="1" x14ac:dyDescent="0.25">
      <c r="A177" s="133"/>
      <c r="B177" s="8"/>
      <c r="C177" s="8"/>
      <c r="D177" s="8"/>
      <c r="E177" s="8"/>
      <c r="F177" s="8"/>
      <c r="G177" s="8"/>
      <c r="H177" s="8"/>
      <c r="I177" s="8"/>
      <c r="J177" s="8"/>
      <c r="K177" s="8"/>
      <c r="L177" s="94"/>
      <c r="M177" s="8"/>
      <c r="N177" s="8"/>
      <c r="O177" s="8"/>
      <c r="P177" s="8"/>
      <c r="Q177" s="8"/>
      <c r="R177" s="8"/>
      <c r="S177" s="8"/>
      <c r="T177" s="8"/>
      <c r="U177" s="8"/>
      <c r="V177" s="8"/>
      <c r="W177" s="8"/>
      <c r="X177" s="8"/>
      <c r="Y177" s="8"/>
      <c r="Z177" s="8"/>
    </row>
    <row r="178" spans="1:26" ht="12.75" customHeight="1" x14ac:dyDescent="0.25">
      <c r="A178" s="133"/>
      <c r="B178" s="8"/>
      <c r="C178" s="8"/>
      <c r="D178" s="8"/>
      <c r="E178" s="8"/>
      <c r="F178" s="8"/>
      <c r="G178" s="8"/>
      <c r="H178" s="8"/>
      <c r="I178" s="8"/>
      <c r="J178" s="8"/>
      <c r="K178" s="8"/>
      <c r="L178" s="94"/>
      <c r="M178" s="8"/>
      <c r="N178" s="8"/>
      <c r="O178" s="8"/>
      <c r="P178" s="8"/>
      <c r="Q178" s="8"/>
      <c r="R178" s="8"/>
      <c r="S178" s="8"/>
      <c r="T178" s="8"/>
      <c r="U178" s="8"/>
      <c r="V178" s="8"/>
      <c r="W178" s="8"/>
      <c r="X178" s="8"/>
      <c r="Y178" s="8"/>
      <c r="Z178" s="8"/>
    </row>
    <row r="179" spans="1:26" ht="12.75" customHeight="1" x14ac:dyDescent="0.25">
      <c r="A179" s="133"/>
      <c r="B179" s="8"/>
      <c r="C179" s="8"/>
      <c r="D179" s="8"/>
      <c r="E179" s="8"/>
      <c r="F179" s="8"/>
      <c r="G179" s="8"/>
      <c r="H179" s="8"/>
      <c r="I179" s="8"/>
      <c r="J179" s="8"/>
      <c r="K179" s="8"/>
      <c r="L179" s="94"/>
      <c r="M179" s="8"/>
      <c r="N179" s="8"/>
      <c r="O179" s="8"/>
      <c r="P179" s="8"/>
      <c r="Q179" s="8"/>
      <c r="R179" s="8"/>
      <c r="S179" s="8"/>
      <c r="T179" s="8"/>
      <c r="U179" s="8"/>
      <c r="V179" s="8"/>
      <c r="W179" s="8"/>
      <c r="X179" s="8"/>
      <c r="Y179" s="8"/>
      <c r="Z179" s="8"/>
    </row>
    <row r="180" spans="1:26" ht="12.75" customHeight="1" x14ac:dyDescent="0.25">
      <c r="A180" s="133"/>
      <c r="B180" s="8"/>
      <c r="C180" s="8"/>
      <c r="D180" s="8"/>
      <c r="E180" s="8"/>
      <c r="F180" s="8"/>
      <c r="G180" s="8"/>
      <c r="H180" s="8"/>
      <c r="I180" s="8"/>
      <c r="J180" s="8"/>
      <c r="K180" s="8"/>
      <c r="L180" s="94"/>
      <c r="M180" s="8"/>
      <c r="N180" s="8"/>
      <c r="O180" s="8"/>
      <c r="P180" s="8"/>
      <c r="Q180" s="8"/>
      <c r="R180" s="8"/>
      <c r="S180" s="8"/>
      <c r="T180" s="8"/>
      <c r="U180" s="8"/>
      <c r="V180" s="8"/>
      <c r="W180" s="8"/>
      <c r="X180" s="8"/>
      <c r="Y180" s="8"/>
      <c r="Z180" s="8"/>
    </row>
    <row r="181" spans="1:26" ht="12.75" customHeight="1" x14ac:dyDescent="0.25">
      <c r="A181" s="133"/>
      <c r="B181" s="8"/>
      <c r="C181" s="8"/>
      <c r="D181" s="8"/>
      <c r="E181" s="8"/>
      <c r="F181" s="8"/>
      <c r="G181" s="8"/>
      <c r="H181" s="8"/>
      <c r="I181" s="8"/>
      <c r="J181" s="8"/>
      <c r="K181" s="8"/>
      <c r="L181" s="94"/>
      <c r="M181" s="8"/>
      <c r="N181" s="8"/>
      <c r="O181" s="8"/>
      <c r="P181" s="8"/>
      <c r="Q181" s="8"/>
      <c r="R181" s="8"/>
      <c r="S181" s="8"/>
      <c r="T181" s="8"/>
      <c r="U181" s="8"/>
      <c r="V181" s="8"/>
      <c r="W181" s="8"/>
      <c r="X181" s="8"/>
      <c r="Y181" s="8"/>
      <c r="Z181" s="8"/>
    </row>
    <row r="182" spans="1:26" ht="12.75" customHeight="1" x14ac:dyDescent="0.25">
      <c r="A182" s="133"/>
      <c r="B182" s="8"/>
      <c r="C182" s="8"/>
      <c r="D182" s="8"/>
      <c r="E182" s="8"/>
      <c r="F182" s="8"/>
      <c r="G182" s="8"/>
      <c r="H182" s="8"/>
      <c r="I182" s="8"/>
      <c r="J182" s="8"/>
      <c r="K182" s="8"/>
      <c r="L182" s="94"/>
      <c r="M182" s="8"/>
      <c r="N182" s="8"/>
      <c r="O182" s="8"/>
      <c r="P182" s="8"/>
      <c r="Q182" s="8"/>
      <c r="R182" s="8"/>
      <c r="S182" s="8"/>
      <c r="T182" s="8"/>
      <c r="U182" s="8"/>
      <c r="V182" s="8"/>
      <c r="W182" s="8"/>
      <c r="X182" s="8"/>
      <c r="Y182" s="8"/>
      <c r="Z182" s="8"/>
    </row>
    <row r="183" spans="1:26" ht="12.75" customHeight="1" x14ac:dyDescent="0.25">
      <c r="A183" s="133"/>
      <c r="B183" s="8"/>
      <c r="C183" s="8"/>
      <c r="D183" s="8"/>
      <c r="E183" s="8"/>
      <c r="F183" s="8"/>
      <c r="G183" s="8"/>
      <c r="H183" s="8"/>
      <c r="I183" s="8"/>
      <c r="J183" s="8"/>
      <c r="K183" s="8"/>
      <c r="L183" s="94"/>
      <c r="M183" s="8"/>
      <c r="N183" s="8"/>
      <c r="O183" s="8"/>
      <c r="P183" s="8"/>
      <c r="Q183" s="8"/>
      <c r="R183" s="8"/>
      <c r="S183" s="8"/>
      <c r="T183" s="8"/>
      <c r="U183" s="8"/>
      <c r="V183" s="8"/>
      <c r="W183" s="8"/>
      <c r="X183" s="8"/>
      <c r="Y183" s="8"/>
      <c r="Z183" s="8"/>
    </row>
    <row r="184" spans="1:26" ht="12.75" customHeight="1" x14ac:dyDescent="0.25">
      <c r="A184" s="133"/>
      <c r="B184" s="8"/>
      <c r="C184" s="8"/>
      <c r="D184" s="8"/>
      <c r="E184" s="8"/>
      <c r="F184" s="8"/>
      <c r="G184" s="8"/>
      <c r="H184" s="8"/>
      <c r="I184" s="8"/>
      <c r="J184" s="8"/>
      <c r="K184" s="8"/>
      <c r="L184" s="94"/>
      <c r="M184" s="8"/>
      <c r="N184" s="8"/>
      <c r="O184" s="8"/>
      <c r="P184" s="8"/>
      <c r="Q184" s="8"/>
      <c r="R184" s="8"/>
      <c r="S184" s="8"/>
      <c r="T184" s="8"/>
      <c r="U184" s="8"/>
      <c r="V184" s="8"/>
      <c r="W184" s="8"/>
      <c r="X184" s="8"/>
      <c r="Y184" s="8"/>
      <c r="Z184" s="8"/>
    </row>
    <row r="185" spans="1:26" ht="12.75" customHeight="1" x14ac:dyDescent="0.25">
      <c r="A185" s="133"/>
      <c r="B185" s="8"/>
      <c r="C185" s="8"/>
      <c r="D185" s="8"/>
      <c r="E185" s="8"/>
      <c r="F185" s="8"/>
      <c r="G185" s="8"/>
      <c r="H185" s="8"/>
      <c r="I185" s="8"/>
      <c r="J185" s="8"/>
      <c r="K185" s="8"/>
      <c r="L185" s="94"/>
      <c r="M185" s="8"/>
      <c r="N185" s="8"/>
      <c r="O185" s="8"/>
      <c r="P185" s="8"/>
      <c r="Q185" s="8"/>
      <c r="R185" s="8"/>
      <c r="S185" s="8"/>
      <c r="T185" s="8"/>
      <c r="U185" s="8"/>
      <c r="V185" s="8"/>
      <c r="W185" s="8"/>
      <c r="X185" s="8"/>
      <c r="Y185" s="8"/>
      <c r="Z185" s="8"/>
    </row>
    <row r="186" spans="1:26" ht="12.75" customHeight="1" x14ac:dyDescent="0.25">
      <c r="A186" s="133"/>
      <c r="B186" s="8"/>
      <c r="C186" s="8"/>
      <c r="D186" s="8"/>
      <c r="E186" s="8"/>
      <c r="F186" s="8"/>
      <c r="G186" s="8"/>
      <c r="H186" s="8"/>
      <c r="I186" s="8"/>
      <c r="J186" s="8"/>
      <c r="K186" s="8"/>
      <c r="L186" s="94"/>
      <c r="M186" s="8"/>
      <c r="N186" s="8"/>
      <c r="O186" s="8"/>
      <c r="P186" s="8"/>
      <c r="Q186" s="8"/>
      <c r="R186" s="8"/>
      <c r="S186" s="8"/>
      <c r="T186" s="8"/>
      <c r="U186" s="8"/>
      <c r="V186" s="8"/>
      <c r="W186" s="8"/>
      <c r="X186" s="8"/>
      <c r="Y186" s="8"/>
      <c r="Z186" s="8"/>
    </row>
    <row r="187" spans="1:26" ht="12.75" customHeight="1" x14ac:dyDescent="0.25">
      <c r="A187" s="133"/>
      <c r="B187" s="8"/>
      <c r="C187" s="8"/>
      <c r="D187" s="8"/>
      <c r="E187" s="8"/>
      <c r="F187" s="8"/>
      <c r="G187" s="8"/>
      <c r="H187" s="8"/>
      <c r="I187" s="8"/>
      <c r="J187" s="8"/>
      <c r="K187" s="8"/>
      <c r="L187" s="94"/>
      <c r="M187" s="8"/>
      <c r="N187" s="8"/>
      <c r="O187" s="8"/>
      <c r="P187" s="8"/>
      <c r="Q187" s="8"/>
      <c r="R187" s="8"/>
      <c r="S187" s="8"/>
      <c r="T187" s="8"/>
      <c r="U187" s="8"/>
      <c r="V187" s="8"/>
      <c r="W187" s="8"/>
      <c r="X187" s="8"/>
      <c r="Y187" s="8"/>
      <c r="Z187" s="8"/>
    </row>
    <row r="188" spans="1:26" ht="12.75" customHeight="1" x14ac:dyDescent="0.25">
      <c r="A188" s="133"/>
      <c r="B188" s="8"/>
      <c r="C188" s="8"/>
      <c r="D188" s="8"/>
      <c r="E188" s="8"/>
      <c r="F188" s="8"/>
      <c r="G188" s="8"/>
      <c r="H188" s="8"/>
      <c r="I188" s="8"/>
      <c r="J188" s="8"/>
      <c r="K188" s="8"/>
      <c r="L188" s="94"/>
      <c r="M188" s="8"/>
      <c r="N188" s="8"/>
      <c r="O188" s="8"/>
      <c r="P188" s="8"/>
      <c r="Q188" s="8"/>
      <c r="R188" s="8"/>
      <c r="S188" s="8"/>
      <c r="T188" s="8"/>
      <c r="U188" s="8"/>
      <c r="V188" s="8"/>
      <c r="W188" s="8"/>
      <c r="X188" s="8"/>
      <c r="Y188" s="8"/>
      <c r="Z188" s="8"/>
    </row>
    <row r="189" spans="1:26" ht="12.75" customHeight="1" x14ac:dyDescent="0.25">
      <c r="A189" s="133"/>
      <c r="B189" s="8"/>
      <c r="C189" s="8"/>
      <c r="D189" s="8"/>
      <c r="E189" s="8"/>
      <c r="F189" s="8"/>
      <c r="G189" s="8"/>
      <c r="H189" s="8"/>
      <c r="I189" s="8"/>
      <c r="J189" s="8"/>
      <c r="K189" s="8"/>
      <c r="L189" s="94"/>
      <c r="M189" s="8"/>
      <c r="N189" s="8"/>
      <c r="O189" s="8"/>
      <c r="P189" s="8"/>
      <c r="Q189" s="8"/>
      <c r="R189" s="8"/>
      <c r="S189" s="8"/>
      <c r="T189" s="8"/>
      <c r="U189" s="8"/>
      <c r="V189" s="8"/>
      <c r="W189" s="8"/>
      <c r="X189" s="8"/>
      <c r="Y189" s="8"/>
      <c r="Z189" s="8"/>
    </row>
    <row r="190" spans="1:26" ht="12.75" customHeight="1" x14ac:dyDescent="0.25">
      <c r="A190" s="133"/>
      <c r="B190" s="8"/>
      <c r="C190" s="8"/>
      <c r="D190" s="8"/>
      <c r="E190" s="8"/>
      <c r="F190" s="8"/>
      <c r="G190" s="8"/>
      <c r="H190" s="8"/>
      <c r="I190" s="8"/>
      <c r="J190" s="8"/>
      <c r="K190" s="8"/>
      <c r="L190" s="94"/>
      <c r="M190" s="8"/>
      <c r="N190" s="8"/>
      <c r="O190" s="8"/>
      <c r="P190" s="8"/>
      <c r="Q190" s="8"/>
      <c r="R190" s="8"/>
      <c r="S190" s="8"/>
      <c r="T190" s="8"/>
      <c r="U190" s="8"/>
      <c r="V190" s="8"/>
      <c r="W190" s="8"/>
      <c r="X190" s="8"/>
      <c r="Y190" s="8"/>
      <c r="Z190" s="8"/>
    </row>
    <row r="191" spans="1:26" ht="12.75" customHeight="1" x14ac:dyDescent="0.25">
      <c r="A191" s="133"/>
      <c r="B191" s="8"/>
      <c r="C191" s="8"/>
      <c r="D191" s="8"/>
      <c r="E191" s="8"/>
      <c r="F191" s="8"/>
      <c r="G191" s="8"/>
      <c r="H191" s="8"/>
      <c r="I191" s="8"/>
      <c r="J191" s="8"/>
      <c r="K191" s="8"/>
      <c r="L191" s="94"/>
      <c r="M191" s="8"/>
      <c r="N191" s="8"/>
      <c r="O191" s="8"/>
      <c r="P191" s="8"/>
      <c r="Q191" s="8"/>
      <c r="R191" s="8"/>
      <c r="S191" s="8"/>
      <c r="T191" s="8"/>
      <c r="U191" s="8"/>
      <c r="V191" s="8"/>
      <c r="W191" s="8"/>
      <c r="X191" s="8"/>
      <c r="Y191" s="8"/>
      <c r="Z191" s="8"/>
    </row>
    <row r="192" spans="1:26" ht="12.75" customHeight="1" x14ac:dyDescent="0.25">
      <c r="A192" s="133"/>
      <c r="B192" s="8"/>
      <c r="C192" s="8"/>
      <c r="D192" s="8"/>
      <c r="E192" s="8"/>
      <c r="F192" s="8"/>
      <c r="G192" s="8"/>
      <c r="H192" s="8"/>
      <c r="I192" s="8"/>
      <c r="J192" s="8"/>
      <c r="K192" s="8"/>
      <c r="L192" s="94"/>
      <c r="M192" s="8"/>
      <c r="N192" s="8"/>
      <c r="O192" s="8"/>
      <c r="P192" s="8"/>
      <c r="Q192" s="8"/>
      <c r="R192" s="8"/>
      <c r="S192" s="8"/>
      <c r="T192" s="8"/>
      <c r="U192" s="8"/>
      <c r="V192" s="8"/>
      <c r="W192" s="8"/>
      <c r="X192" s="8"/>
      <c r="Y192" s="8"/>
      <c r="Z192" s="8"/>
    </row>
    <row r="193" spans="1:26" ht="12.75" customHeight="1" x14ac:dyDescent="0.25">
      <c r="A193" s="133"/>
      <c r="B193" s="8"/>
      <c r="C193" s="8"/>
      <c r="D193" s="8"/>
      <c r="E193" s="8"/>
      <c r="F193" s="8"/>
      <c r="G193" s="8"/>
      <c r="H193" s="8"/>
      <c r="I193" s="8"/>
      <c r="J193" s="8"/>
      <c r="K193" s="8"/>
      <c r="L193" s="94"/>
      <c r="M193" s="8"/>
      <c r="N193" s="8"/>
      <c r="O193" s="8"/>
      <c r="P193" s="8"/>
      <c r="Q193" s="8"/>
      <c r="R193" s="8"/>
      <c r="S193" s="8"/>
      <c r="T193" s="8"/>
      <c r="U193" s="8"/>
      <c r="V193" s="8"/>
      <c r="W193" s="8"/>
      <c r="X193" s="8"/>
      <c r="Y193" s="8"/>
      <c r="Z193" s="8"/>
    </row>
    <row r="194" spans="1:26" ht="12.75" customHeight="1" x14ac:dyDescent="0.25">
      <c r="A194" s="133"/>
      <c r="B194" s="8"/>
      <c r="C194" s="8"/>
      <c r="D194" s="8"/>
      <c r="E194" s="8"/>
      <c r="F194" s="8"/>
      <c r="G194" s="8"/>
      <c r="H194" s="8"/>
      <c r="I194" s="8"/>
      <c r="J194" s="8"/>
      <c r="K194" s="8"/>
      <c r="L194" s="94"/>
      <c r="M194" s="8"/>
      <c r="N194" s="8"/>
      <c r="O194" s="8"/>
      <c r="P194" s="8"/>
      <c r="Q194" s="8"/>
      <c r="R194" s="8"/>
      <c r="S194" s="8"/>
      <c r="T194" s="8"/>
      <c r="U194" s="8"/>
      <c r="V194" s="8"/>
      <c r="W194" s="8"/>
      <c r="X194" s="8"/>
      <c r="Y194" s="8"/>
      <c r="Z194" s="8"/>
    </row>
    <row r="195" spans="1:26" ht="12.75" customHeight="1" x14ac:dyDescent="0.25">
      <c r="A195" s="133"/>
      <c r="B195" s="8"/>
      <c r="C195" s="8"/>
      <c r="D195" s="8"/>
      <c r="E195" s="8"/>
      <c r="F195" s="8"/>
      <c r="G195" s="8"/>
      <c r="H195" s="8"/>
      <c r="I195" s="8"/>
      <c r="J195" s="8"/>
      <c r="K195" s="8"/>
      <c r="L195" s="94"/>
      <c r="M195" s="8"/>
      <c r="N195" s="8"/>
      <c r="O195" s="8"/>
      <c r="P195" s="8"/>
      <c r="Q195" s="8"/>
      <c r="R195" s="8"/>
      <c r="S195" s="8"/>
      <c r="T195" s="8"/>
      <c r="U195" s="8"/>
      <c r="V195" s="8"/>
      <c r="W195" s="8"/>
      <c r="X195" s="8"/>
      <c r="Y195" s="8"/>
      <c r="Z195" s="8"/>
    </row>
    <row r="196" spans="1:26" ht="12.75" customHeight="1" x14ac:dyDescent="0.25">
      <c r="A196" s="133"/>
      <c r="B196" s="8"/>
      <c r="C196" s="8"/>
      <c r="D196" s="8"/>
      <c r="E196" s="8"/>
      <c r="F196" s="8"/>
      <c r="G196" s="8"/>
      <c r="H196" s="8"/>
      <c r="I196" s="8"/>
      <c r="J196" s="8"/>
      <c r="K196" s="8"/>
      <c r="L196" s="94"/>
      <c r="M196" s="8"/>
      <c r="N196" s="8"/>
      <c r="O196" s="8"/>
      <c r="P196" s="8"/>
      <c r="Q196" s="8"/>
      <c r="R196" s="8"/>
      <c r="S196" s="8"/>
      <c r="T196" s="8"/>
      <c r="U196" s="8"/>
      <c r="V196" s="8"/>
      <c r="W196" s="8"/>
      <c r="X196" s="8"/>
      <c r="Y196" s="8"/>
      <c r="Z196" s="8"/>
    </row>
    <row r="197" spans="1:26" ht="12.75" customHeight="1" x14ac:dyDescent="0.25">
      <c r="A197" s="133"/>
      <c r="B197" s="8"/>
      <c r="C197" s="8"/>
      <c r="D197" s="8"/>
      <c r="E197" s="8"/>
      <c r="F197" s="8"/>
      <c r="G197" s="8"/>
      <c r="H197" s="8"/>
      <c r="I197" s="8"/>
      <c r="J197" s="8"/>
      <c r="K197" s="8"/>
      <c r="L197" s="94"/>
      <c r="M197" s="8"/>
      <c r="N197" s="8"/>
      <c r="O197" s="8"/>
      <c r="P197" s="8"/>
      <c r="Q197" s="8"/>
      <c r="R197" s="8"/>
      <c r="S197" s="8"/>
      <c r="T197" s="8"/>
      <c r="U197" s="8"/>
      <c r="V197" s="8"/>
      <c r="W197" s="8"/>
      <c r="X197" s="8"/>
      <c r="Y197" s="8"/>
      <c r="Z197" s="8"/>
    </row>
    <row r="198" spans="1:26" ht="12.75" customHeight="1" x14ac:dyDescent="0.25">
      <c r="A198" s="133"/>
      <c r="B198" s="8"/>
      <c r="C198" s="8"/>
      <c r="D198" s="8"/>
      <c r="E198" s="8"/>
      <c r="F198" s="8"/>
      <c r="G198" s="8"/>
      <c r="H198" s="8"/>
      <c r="I198" s="8"/>
      <c r="J198" s="8"/>
      <c r="K198" s="8"/>
      <c r="L198" s="94"/>
      <c r="M198" s="8"/>
      <c r="N198" s="8"/>
      <c r="O198" s="8"/>
      <c r="P198" s="8"/>
      <c r="Q198" s="8"/>
      <c r="R198" s="8"/>
      <c r="S198" s="8"/>
      <c r="T198" s="8"/>
      <c r="U198" s="8"/>
      <c r="V198" s="8"/>
      <c r="W198" s="8"/>
      <c r="X198" s="8"/>
      <c r="Y198" s="8"/>
      <c r="Z198" s="8"/>
    </row>
    <row r="199" spans="1:26" ht="12.75" customHeight="1" x14ac:dyDescent="0.25">
      <c r="A199" s="133"/>
      <c r="B199" s="8"/>
      <c r="C199" s="8"/>
      <c r="D199" s="8"/>
      <c r="E199" s="8"/>
      <c r="F199" s="8"/>
      <c r="G199" s="8"/>
      <c r="H199" s="8"/>
      <c r="I199" s="8"/>
      <c r="J199" s="8"/>
      <c r="K199" s="8"/>
      <c r="L199" s="94"/>
      <c r="M199" s="8"/>
      <c r="N199" s="8"/>
      <c r="O199" s="8"/>
      <c r="P199" s="8"/>
      <c r="Q199" s="8"/>
      <c r="R199" s="8"/>
      <c r="S199" s="8"/>
      <c r="T199" s="8"/>
      <c r="U199" s="8"/>
      <c r="V199" s="8"/>
      <c r="W199" s="8"/>
      <c r="X199" s="8"/>
      <c r="Y199" s="8"/>
      <c r="Z199" s="8"/>
    </row>
    <row r="200" spans="1:26" ht="12.75" customHeight="1" x14ac:dyDescent="0.25">
      <c r="A200" s="133"/>
      <c r="B200" s="8"/>
      <c r="C200" s="8"/>
      <c r="D200" s="8"/>
      <c r="E200" s="8"/>
      <c r="F200" s="8"/>
      <c r="G200" s="8"/>
      <c r="H200" s="8"/>
      <c r="I200" s="8"/>
      <c r="J200" s="8"/>
      <c r="K200" s="8"/>
      <c r="L200" s="94"/>
      <c r="M200" s="8"/>
      <c r="N200" s="8"/>
      <c r="O200" s="8"/>
      <c r="P200" s="8"/>
      <c r="Q200" s="8"/>
      <c r="R200" s="8"/>
      <c r="S200" s="8"/>
      <c r="T200" s="8"/>
      <c r="U200" s="8"/>
      <c r="V200" s="8"/>
      <c r="W200" s="8"/>
      <c r="X200" s="8"/>
      <c r="Y200" s="8"/>
      <c r="Z200" s="8"/>
    </row>
    <row r="201" spans="1:26" ht="12.75" customHeight="1" x14ac:dyDescent="0.25">
      <c r="A201" s="133"/>
      <c r="B201" s="8"/>
      <c r="C201" s="8"/>
      <c r="D201" s="8"/>
      <c r="E201" s="8"/>
      <c r="F201" s="8"/>
      <c r="G201" s="8"/>
      <c r="H201" s="8"/>
      <c r="I201" s="8"/>
      <c r="J201" s="8"/>
      <c r="K201" s="8"/>
      <c r="L201" s="94"/>
      <c r="M201" s="8"/>
      <c r="N201" s="8"/>
      <c r="O201" s="8"/>
      <c r="P201" s="8"/>
      <c r="Q201" s="8"/>
      <c r="R201" s="8"/>
      <c r="S201" s="8"/>
      <c r="T201" s="8"/>
      <c r="U201" s="8"/>
      <c r="V201" s="8"/>
      <c r="W201" s="8"/>
      <c r="X201" s="8"/>
      <c r="Y201" s="8"/>
      <c r="Z201" s="8"/>
    </row>
    <row r="202" spans="1:26" ht="12.75" customHeight="1" x14ac:dyDescent="0.25">
      <c r="A202" s="133"/>
      <c r="B202" s="8"/>
      <c r="C202" s="8"/>
      <c r="D202" s="8"/>
      <c r="E202" s="8"/>
      <c r="F202" s="8"/>
      <c r="G202" s="8"/>
      <c r="H202" s="8"/>
      <c r="I202" s="8"/>
      <c r="J202" s="8"/>
      <c r="K202" s="8"/>
      <c r="L202" s="94"/>
      <c r="M202" s="8"/>
      <c r="N202" s="8"/>
      <c r="O202" s="8"/>
      <c r="P202" s="8"/>
      <c r="Q202" s="8"/>
      <c r="R202" s="8"/>
      <c r="S202" s="8"/>
      <c r="T202" s="8"/>
      <c r="U202" s="8"/>
      <c r="V202" s="8"/>
      <c r="W202" s="8"/>
      <c r="X202" s="8"/>
      <c r="Y202" s="8"/>
      <c r="Z202" s="8"/>
    </row>
    <row r="203" spans="1:26" ht="12.75" customHeight="1" x14ac:dyDescent="0.25">
      <c r="A203" s="133"/>
      <c r="B203" s="8"/>
      <c r="C203" s="8"/>
      <c r="D203" s="8"/>
      <c r="E203" s="8"/>
      <c r="F203" s="8"/>
      <c r="G203" s="8"/>
      <c r="H203" s="8"/>
      <c r="I203" s="8"/>
      <c r="J203" s="8"/>
      <c r="K203" s="8"/>
      <c r="L203" s="94"/>
      <c r="M203" s="8"/>
      <c r="N203" s="8"/>
      <c r="O203" s="8"/>
      <c r="P203" s="8"/>
      <c r="Q203" s="8"/>
      <c r="R203" s="8"/>
      <c r="S203" s="8"/>
      <c r="T203" s="8"/>
      <c r="U203" s="8"/>
      <c r="V203" s="8"/>
      <c r="W203" s="8"/>
      <c r="X203" s="8"/>
      <c r="Y203" s="8"/>
      <c r="Z203" s="8"/>
    </row>
    <row r="204" spans="1:26" ht="12.75" customHeight="1" x14ac:dyDescent="0.25">
      <c r="A204" s="133"/>
      <c r="B204" s="8"/>
      <c r="C204" s="8"/>
      <c r="D204" s="8"/>
      <c r="E204" s="8"/>
      <c r="F204" s="8"/>
      <c r="G204" s="8"/>
      <c r="H204" s="8"/>
      <c r="I204" s="8"/>
      <c r="J204" s="8"/>
      <c r="K204" s="8"/>
      <c r="L204" s="94"/>
      <c r="M204" s="8"/>
      <c r="N204" s="8"/>
      <c r="O204" s="8"/>
      <c r="P204" s="8"/>
      <c r="Q204" s="8"/>
      <c r="R204" s="8"/>
      <c r="S204" s="8"/>
      <c r="T204" s="8"/>
      <c r="U204" s="8"/>
      <c r="V204" s="8"/>
      <c r="W204" s="8"/>
      <c r="X204" s="8"/>
      <c r="Y204" s="8"/>
      <c r="Z204" s="8"/>
    </row>
    <row r="205" spans="1:26" ht="12.75" customHeight="1" x14ac:dyDescent="0.25">
      <c r="A205" s="133"/>
      <c r="B205" s="8"/>
      <c r="C205" s="8"/>
      <c r="D205" s="8"/>
      <c r="E205" s="8"/>
      <c r="F205" s="8"/>
      <c r="G205" s="8"/>
      <c r="H205" s="8"/>
      <c r="I205" s="8"/>
      <c r="J205" s="8"/>
      <c r="K205" s="8"/>
      <c r="L205" s="94"/>
      <c r="M205" s="8"/>
      <c r="N205" s="8"/>
      <c r="O205" s="8"/>
      <c r="P205" s="8"/>
      <c r="Q205" s="8"/>
      <c r="R205" s="8"/>
      <c r="S205" s="8"/>
      <c r="T205" s="8"/>
      <c r="U205" s="8"/>
      <c r="V205" s="8"/>
      <c r="W205" s="8"/>
      <c r="X205" s="8"/>
      <c r="Y205" s="8"/>
      <c r="Z205" s="8"/>
    </row>
    <row r="206" spans="1:26" ht="12.75" customHeight="1" x14ac:dyDescent="0.25">
      <c r="A206" s="133"/>
      <c r="B206" s="8"/>
      <c r="C206" s="8"/>
      <c r="D206" s="8"/>
      <c r="E206" s="8"/>
      <c r="F206" s="8"/>
      <c r="G206" s="8"/>
      <c r="H206" s="8"/>
      <c r="I206" s="8"/>
      <c r="J206" s="8"/>
      <c r="K206" s="8"/>
      <c r="L206" s="94"/>
      <c r="M206" s="8"/>
      <c r="N206" s="8"/>
      <c r="O206" s="8"/>
      <c r="P206" s="8"/>
      <c r="Q206" s="8"/>
      <c r="R206" s="8"/>
      <c r="S206" s="8"/>
      <c r="T206" s="8"/>
      <c r="U206" s="8"/>
      <c r="V206" s="8"/>
      <c r="W206" s="8"/>
      <c r="X206" s="8"/>
      <c r="Y206" s="8"/>
      <c r="Z206" s="8"/>
    </row>
    <row r="207" spans="1:26" ht="12.75" customHeight="1" x14ac:dyDescent="0.25">
      <c r="A207" s="133"/>
      <c r="B207" s="8"/>
      <c r="C207" s="8"/>
      <c r="D207" s="8"/>
      <c r="E207" s="8"/>
      <c r="F207" s="8"/>
      <c r="G207" s="8"/>
      <c r="H207" s="8"/>
      <c r="I207" s="8"/>
      <c r="J207" s="8"/>
      <c r="K207" s="8"/>
      <c r="L207" s="94"/>
      <c r="M207" s="8"/>
      <c r="N207" s="8"/>
      <c r="O207" s="8"/>
      <c r="P207" s="8"/>
      <c r="Q207" s="8"/>
      <c r="R207" s="8"/>
      <c r="S207" s="8"/>
      <c r="T207" s="8"/>
      <c r="U207" s="8"/>
      <c r="V207" s="8"/>
      <c r="W207" s="8"/>
      <c r="X207" s="8"/>
      <c r="Y207" s="8"/>
      <c r="Z207" s="8"/>
    </row>
    <row r="208" spans="1:26" ht="12.75" customHeight="1" x14ac:dyDescent="0.25">
      <c r="A208" s="133"/>
      <c r="B208" s="8"/>
      <c r="C208" s="8"/>
      <c r="D208" s="8"/>
      <c r="E208" s="8"/>
      <c r="F208" s="8"/>
      <c r="G208" s="8"/>
      <c r="H208" s="8"/>
      <c r="I208" s="8"/>
      <c r="J208" s="8"/>
      <c r="K208" s="8"/>
      <c r="L208" s="94"/>
      <c r="M208" s="8"/>
      <c r="N208" s="8"/>
      <c r="O208" s="8"/>
      <c r="P208" s="8"/>
      <c r="Q208" s="8"/>
      <c r="R208" s="8"/>
      <c r="S208" s="8"/>
      <c r="T208" s="8"/>
      <c r="U208" s="8"/>
      <c r="V208" s="8"/>
      <c r="W208" s="8"/>
      <c r="X208" s="8"/>
      <c r="Y208" s="8"/>
      <c r="Z208" s="8"/>
    </row>
    <row r="209" spans="1:26" ht="12.75" customHeight="1" x14ac:dyDescent="0.25">
      <c r="A209" s="133"/>
      <c r="B209" s="8"/>
      <c r="C209" s="8"/>
      <c r="D209" s="8"/>
      <c r="E209" s="8"/>
      <c r="F209" s="8"/>
      <c r="G209" s="8"/>
      <c r="H209" s="8"/>
      <c r="I209" s="8"/>
      <c r="J209" s="8"/>
      <c r="K209" s="8"/>
      <c r="L209" s="94"/>
      <c r="M209" s="8"/>
      <c r="N209" s="8"/>
      <c r="O209" s="8"/>
      <c r="P209" s="8"/>
      <c r="Q209" s="8"/>
      <c r="R209" s="8"/>
      <c r="S209" s="8"/>
      <c r="T209" s="8"/>
      <c r="U209" s="8"/>
      <c r="V209" s="8"/>
      <c r="W209" s="8"/>
      <c r="X209" s="8"/>
      <c r="Y209" s="8"/>
      <c r="Z209" s="8"/>
    </row>
    <row r="210" spans="1:26" ht="12.75" customHeight="1" x14ac:dyDescent="0.25">
      <c r="A210" s="133"/>
      <c r="B210" s="8"/>
      <c r="C210" s="8"/>
      <c r="D210" s="8"/>
      <c r="E210" s="8"/>
      <c r="F210" s="8"/>
      <c r="G210" s="8"/>
      <c r="H210" s="8"/>
      <c r="I210" s="8"/>
      <c r="J210" s="8"/>
      <c r="K210" s="8"/>
      <c r="L210" s="94"/>
      <c r="M210" s="8"/>
      <c r="N210" s="8"/>
      <c r="O210" s="8"/>
      <c r="P210" s="8"/>
      <c r="Q210" s="8"/>
      <c r="R210" s="8"/>
      <c r="S210" s="8"/>
      <c r="T210" s="8"/>
      <c r="U210" s="8"/>
      <c r="V210" s="8"/>
      <c r="W210" s="8"/>
      <c r="X210" s="8"/>
      <c r="Y210" s="8"/>
      <c r="Z210" s="8"/>
    </row>
    <row r="211" spans="1:26" ht="12.75" customHeight="1" x14ac:dyDescent="0.25">
      <c r="A211" s="133"/>
      <c r="B211" s="8"/>
      <c r="C211" s="8"/>
      <c r="D211" s="8"/>
      <c r="E211" s="8"/>
      <c r="F211" s="8"/>
      <c r="G211" s="8"/>
      <c r="H211" s="8"/>
      <c r="I211" s="8"/>
      <c r="J211" s="8"/>
      <c r="K211" s="8"/>
      <c r="L211" s="94"/>
      <c r="M211" s="8"/>
      <c r="N211" s="8"/>
      <c r="O211" s="8"/>
      <c r="P211" s="8"/>
      <c r="Q211" s="8"/>
      <c r="R211" s="8"/>
      <c r="S211" s="8"/>
      <c r="T211" s="8"/>
      <c r="U211" s="8"/>
      <c r="V211" s="8"/>
      <c r="W211" s="8"/>
      <c r="X211" s="8"/>
      <c r="Y211" s="8"/>
      <c r="Z211" s="8"/>
    </row>
    <row r="212" spans="1:26" ht="12.75" customHeight="1" x14ac:dyDescent="0.25">
      <c r="A212" s="133"/>
      <c r="B212" s="8"/>
      <c r="C212" s="8"/>
      <c r="D212" s="8"/>
      <c r="E212" s="8"/>
      <c r="F212" s="8"/>
      <c r="G212" s="8"/>
      <c r="H212" s="8"/>
      <c r="I212" s="8"/>
      <c r="J212" s="8"/>
      <c r="K212" s="8"/>
      <c r="L212" s="94"/>
      <c r="M212" s="8"/>
      <c r="N212" s="8"/>
      <c r="O212" s="8"/>
      <c r="P212" s="8"/>
      <c r="Q212" s="8"/>
      <c r="R212" s="8"/>
      <c r="S212" s="8"/>
      <c r="T212" s="8"/>
      <c r="U212" s="8"/>
      <c r="V212" s="8"/>
      <c r="W212" s="8"/>
      <c r="X212" s="8"/>
      <c r="Y212" s="8"/>
      <c r="Z212" s="8"/>
    </row>
    <row r="213" spans="1:26" ht="12.75" customHeight="1" x14ac:dyDescent="0.25">
      <c r="A213" s="133"/>
      <c r="B213" s="8"/>
      <c r="C213" s="8"/>
      <c r="D213" s="8"/>
      <c r="E213" s="8"/>
      <c r="F213" s="8"/>
      <c r="G213" s="8"/>
      <c r="H213" s="8"/>
      <c r="I213" s="8"/>
      <c r="J213" s="8"/>
      <c r="K213" s="8"/>
      <c r="L213" s="94"/>
      <c r="M213" s="8"/>
      <c r="N213" s="8"/>
      <c r="O213" s="8"/>
      <c r="P213" s="8"/>
      <c r="Q213" s="8"/>
      <c r="R213" s="8"/>
      <c r="S213" s="8"/>
      <c r="T213" s="8"/>
      <c r="U213" s="8"/>
      <c r="V213" s="8"/>
      <c r="W213" s="8"/>
      <c r="X213" s="8"/>
      <c r="Y213" s="8"/>
      <c r="Z213" s="8"/>
    </row>
    <row r="214" spans="1:26" ht="12.75" customHeight="1" x14ac:dyDescent="0.25">
      <c r="A214" s="133"/>
      <c r="B214" s="8"/>
      <c r="C214" s="8"/>
      <c r="D214" s="8"/>
      <c r="E214" s="8"/>
      <c r="F214" s="8"/>
      <c r="G214" s="8"/>
      <c r="H214" s="8"/>
      <c r="I214" s="8"/>
      <c r="J214" s="8"/>
      <c r="K214" s="8"/>
      <c r="L214" s="94"/>
      <c r="M214" s="8"/>
      <c r="N214" s="8"/>
      <c r="O214" s="8"/>
      <c r="P214" s="8"/>
      <c r="Q214" s="8"/>
      <c r="R214" s="8"/>
      <c r="S214" s="8"/>
      <c r="T214" s="8"/>
      <c r="U214" s="8"/>
      <c r="V214" s="8"/>
      <c r="W214" s="8"/>
      <c r="X214" s="8"/>
      <c r="Y214" s="8"/>
      <c r="Z214" s="8"/>
    </row>
    <row r="215" spans="1:26" ht="12.75" customHeight="1" x14ac:dyDescent="0.25">
      <c r="A215" s="133"/>
      <c r="B215" s="8"/>
      <c r="C215" s="8"/>
      <c r="D215" s="8"/>
      <c r="E215" s="8"/>
      <c r="F215" s="8"/>
      <c r="G215" s="8"/>
      <c r="H215" s="8"/>
      <c r="I215" s="8"/>
      <c r="J215" s="8"/>
      <c r="K215" s="8"/>
      <c r="L215" s="94"/>
      <c r="M215" s="8"/>
      <c r="N215" s="8"/>
      <c r="O215" s="8"/>
      <c r="P215" s="8"/>
      <c r="Q215" s="8"/>
      <c r="R215" s="8"/>
      <c r="S215" s="8"/>
      <c r="T215" s="8"/>
      <c r="U215" s="8"/>
      <c r="V215" s="8"/>
      <c r="W215" s="8"/>
      <c r="X215" s="8"/>
      <c r="Y215" s="8"/>
      <c r="Z215" s="8"/>
    </row>
    <row r="216" spans="1:26" ht="12.75" customHeight="1" x14ac:dyDescent="0.25">
      <c r="A216" s="133"/>
      <c r="B216" s="8"/>
      <c r="C216" s="8"/>
      <c r="D216" s="8"/>
      <c r="E216" s="8"/>
      <c r="F216" s="8"/>
      <c r="G216" s="8"/>
      <c r="H216" s="8"/>
      <c r="I216" s="8"/>
      <c r="J216" s="8"/>
      <c r="K216" s="8"/>
      <c r="L216" s="94"/>
      <c r="M216" s="8"/>
      <c r="N216" s="8"/>
      <c r="O216" s="8"/>
      <c r="P216" s="8"/>
      <c r="Q216" s="8"/>
      <c r="R216" s="8"/>
      <c r="S216" s="8"/>
      <c r="T216" s="8"/>
      <c r="U216" s="8"/>
      <c r="V216" s="8"/>
      <c r="W216" s="8"/>
      <c r="X216" s="8"/>
      <c r="Y216" s="8"/>
      <c r="Z216" s="8"/>
    </row>
    <row r="217" spans="1:26" ht="12.75" customHeight="1" x14ac:dyDescent="0.25">
      <c r="A217" s="133"/>
      <c r="B217" s="8"/>
      <c r="C217" s="8"/>
      <c r="D217" s="8"/>
      <c r="E217" s="8"/>
      <c r="F217" s="8"/>
      <c r="G217" s="8"/>
      <c r="H217" s="8"/>
      <c r="I217" s="8"/>
      <c r="J217" s="8"/>
      <c r="K217" s="8"/>
      <c r="L217" s="94"/>
      <c r="M217" s="8"/>
      <c r="N217" s="8"/>
      <c r="O217" s="8"/>
      <c r="P217" s="8"/>
      <c r="Q217" s="8"/>
      <c r="R217" s="8"/>
      <c r="S217" s="8"/>
      <c r="T217" s="8"/>
      <c r="U217" s="8"/>
      <c r="V217" s="8"/>
      <c r="W217" s="8"/>
      <c r="X217" s="8"/>
      <c r="Y217" s="8"/>
      <c r="Z217" s="8"/>
    </row>
    <row r="218" spans="1:26" ht="12.75" customHeight="1" x14ac:dyDescent="0.25">
      <c r="A218" s="133"/>
      <c r="B218" s="8"/>
      <c r="C218" s="8"/>
      <c r="D218" s="8"/>
      <c r="E218" s="8"/>
      <c r="F218" s="8"/>
      <c r="G218" s="8"/>
      <c r="H218" s="8"/>
      <c r="I218" s="8"/>
      <c r="J218" s="8"/>
      <c r="K218" s="8"/>
      <c r="L218" s="94"/>
      <c r="M218" s="8"/>
      <c r="N218" s="8"/>
      <c r="O218" s="8"/>
      <c r="P218" s="8"/>
      <c r="Q218" s="8"/>
      <c r="R218" s="8"/>
      <c r="S218" s="8"/>
      <c r="T218" s="8"/>
      <c r="U218" s="8"/>
      <c r="V218" s="8"/>
      <c r="W218" s="8"/>
      <c r="X218" s="8"/>
      <c r="Y218" s="8"/>
      <c r="Z218" s="8"/>
    </row>
    <row r="219" spans="1:26" ht="15.75" customHeight="1" x14ac:dyDescent="0.2"/>
    <row r="220" spans="1:26" ht="15.75" customHeight="1" x14ac:dyDescent="0.2"/>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mergeCells count="1">
    <mergeCell ref="B3:E3"/>
  </mergeCells>
  <conditionalFormatting sqref="I9:I17">
    <cfRule type="containsText" dxfId="32" priority="1" operator="containsText" text="&quot;Pass&quot;">
      <formula>NOT(ISERROR(SEARCH(("""Pass"""),(I9))))</formula>
    </cfRule>
    <cfRule type="containsText" dxfId="31" priority="2" operator="containsText" text="&quot;N/A&quot;">
      <formula>NOT(ISERROR(SEARCH(("""N/A"""),(I9))))</formula>
    </cfRule>
    <cfRule type="containsText" dxfId="30" priority="3" operator="containsText" text="&quot;Fail&quot;">
      <formula>NOT(ISERROR(SEARCH(("""Fail"""),(I9))))</formula>
    </cfRule>
    <cfRule type="containsText" dxfId="29" priority="4" operator="containsText" text="&quot;Pass&quot;">
      <formula>NOT(ISERROR(SEARCH(("""Pass"""),(I9))))</formula>
    </cfRule>
    <cfRule type="containsText" dxfId="28" priority="5" operator="containsText" text="&quot;Pass&quot;">
      <formula>NOT(ISERROR(SEARCH(("""Pass"""),(I9))))</formula>
    </cfRule>
    <cfRule type="containsText" dxfId="27" priority="6" operator="containsText" text="&quot;N/A&quot;">
      <formula>NOT(ISERROR(SEARCH(("""N/A"""),(I9))))</formula>
    </cfRule>
    <cfRule type="containsText" dxfId="26" priority="7" operator="containsText" text="&quot;Fail&quot;">
      <formula>NOT(ISERROR(SEARCH(("""Fail"""),(I9))))</formula>
    </cfRule>
    <cfRule type="containsText" dxfId="25" priority="8" operator="containsText" text="&quot;Pass&quot;">
      <formula>NOT(ISERROR(SEARCH(("""Pass"""),(I9))))</formula>
    </cfRule>
    <cfRule type="containsText" dxfId="24" priority="9" operator="containsText" text="Pass">
      <formula>NOT(ISERROR(SEARCH(("Pass"),(I9))))</formula>
    </cfRule>
    <cfRule type="containsText" dxfId="23" priority="10" operator="containsText" text="Fail">
      <formula>NOT(ISERROR(SEARCH(("Fail"),(I9))))</formula>
    </cfRule>
    <cfRule type="containsText" dxfId="22" priority="11" operator="containsText" text="Untested">
      <formula>NOT(ISERROR(SEARCH(("Untested"),(I9))))</formula>
    </cfRule>
  </conditionalFormatting>
  <dataValidations count="2">
    <dataValidation type="list" allowBlank="1" showInputMessage="1" showErrorMessage="1" prompt=" - " sqref="I1:I3 I7:I8 I17:I140" xr:uid="{D75420DE-0E24-49F9-91C4-32553866EF98}">
      <formula1>$M$2:$M$6</formula1>
    </dataValidation>
    <dataValidation type="list" allowBlank="1" showInputMessage="1" showErrorMessage="1" prompt=" - " sqref="I9:I16" xr:uid="{8BA2BFFB-8873-4368-B0EC-C9148D2E460B}">
      <formula1>"Pass,Fail,Untested,N/A"</formula1>
    </dataValidation>
  </dataValidations>
  <pageMargins left="0.7" right="0.7" top="0.75" bottom="0.75" header="0" footer="0"/>
  <pageSetup orientation="landscape" r:id="rId1"/>
  <headerFooter>
    <oddHeader>&amp;LFacilitate_Test Case\Company&amp;Rv1.0</oddHeader>
    <oddFooter>&amp;L 02ae-BM/PM/HDCV/FSOFT v2/0&amp;CInternal use&amp;R&amp;P/</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1CF25-1FD5-4A99-985F-9B9BD6B281CA}">
  <dimension ref="A1:Z1012"/>
  <sheetViews>
    <sheetView topLeftCell="B1" zoomScale="86" workbookViewId="0">
      <pane ySplit="8" topLeftCell="A30" activePane="bottomLeft" state="frozen"/>
      <selection pane="bottomLeft" activeCell="I32" sqref="I32"/>
    </sheetView>
  </sheetViews>
  <sheetFormatPr defaultColWidth="12.6640625" defaultRowHeight="15" customHeight="1" x14ac:dyDescent="0.2"/>
  <cols>
    <col min="1" max="1" width="14.33203125" style="134" customWidth="1"/>
    <col min="2" max="5" width="20.33203125" customWidth="1"/>
    <col min="6" max="7" width="25" customWidth="1"/>
    <col min="8" max="8" width="30.109375" customWidth="1"/>
    <col min="9" max="9" width="15.109375" customWidth="1"/>
    <col min="10" max="10" width="16.33203125" customWidth="1"/>
    <col min="11" max="11" width="15.88671875" customWidth="1"/>
    <col min="12" max="12" width="13.6640625" customWidth="1"/>
    <col min="13" max="13" width="3.44140625" hidden="1" customWidth="1"/>
    <col min="14" max="26" width="10" customWidth="1"/>
  </cols>
  <sheetData>
    <row r="1" spans="1:26" ht="13.5" customHeight="1" thickBot="1" x14ac:dyDescent="0.3">
      <c r="A1" s="124"/>
      <c r="B1" s="55"/>
      <c r="C1" s="55"/>
      <c r="D1" s="56"/>
      <c r="E1" s="56"/>
      <c r="F1" s="56"/>
      <c r="G1" s="56"/>
      <c r="H1" s="56"/>
      <c r="I1" s="36"/>
      <c r="J1" s="57"/>
      <c r="K1" s="36"/>
      <c r="L1" s="58"/>
      <c r="M1" s="59"/>
      <c r="N1" s="59"/>
      <c r="O1" s="59"/>
      <c r="P1" s="59"/>
      <c r="Q1" s="59"/>
      <c r="R1" s="59"/>
      <c r="S1" s="59"/>
      <c r="T1" s="59"/>
      <c r="U1" s="59"/>
      <c r="V1" s="59"/>
      <c r="W1" s="59"/>
      <c r="X1" s="59"/>
      <c r="Y1" s="59"/>
      <c r="Z1" s="59"/>
    </row>
    <row r="2" spans="1:26" ht="28.5" customHeight="1" x14ac:dyDescent="0.25">
      <c r="A2" s="125" t="s">
        <v>31</v>
      </c>
      <c r="B2" s="141" t="s">
        <v>72</v>
      </c>
      <c r="C2" s="62"/>
      <c r="D2" s="63"/>
      <c r="E2" s="64"/>
      <c r="F2" s="65"/>
      <c r="G2" s="66"/>
      <c r="H2" s="67"/>
      <c r="I2" s="67"/>
      <c r="J2" s="36"/>
      <c r="K2" s="36"/>
      <c r="L2" s="58"/>
      <c r="M2" s="59" t="s">
        <v>32</v>
      </c>
      <c r="N2" s="59"/>
      <c r="O2" s="59"/>
      <c r="P2" s="59"/>
      <c r="Q2" s="59"/>
      <c r="R2" s="59"/>
      <c r="S2" s="59"/>
      <c r="T2" s="59"/>
      <c r="U2" s="59"/>
      <c r="V2" s="59"/>
      <c r="W2" s="59"/>
      <c r="X2" s="59"/>
      <c r="Y2" s="59"/>
      <c r="Z2" s="59"/>
    </row>
    <row r="3" spans="1:26" ht="48" customHeight="1" x14ac:dyDescent="0.25">
      <c r="A3" s="126" t="s">
        <v>33</v>
      </c>
      <c r="B3" s="235" t="s">
        <v>539</v>
      </c>
      <c r="C3" s="236"/>
      <c r="D3" s="236"/>
      <c r="E3" s="237"/>
      <c r="F3" s="65"/>
      <c r="G3" s="66"/>
      <c r="H3" s="67"/>
      <c r="I3" s="67"/>
      <c r="J3" s="36"/>
      <c r="K3" s="36"/>
      <c r="L3" s="58"/>
      <c r="M3" s="59" t="s">
        <v>34</v>
      </c>
      <c r="N3" s="59"/>
      <c r="O3" s="59"/>
      <c r="P3" s="59"/>
      <c r="Q3" s="59"/>
      <c r="R3" s="59"/>
      <c r="S3" s="59"/>
      <c r="T3" s="59"/>
      <c r="U3" s="59"/>
      <c r="V3" s="59"/>
      <c r="W3" s="59"/>
      <c r="X3" s="59"/>
      <c r="Y3" s="59"/>
      <c r="Z3" s="59"/>
    </row>
    <row r="4" spans="1:26" ht="22.8" customHeight="1" x14ac:dyDescent="0.25">
      <c r="A4" s="127" t="s">
        <v>35</v>
      </c>
      <c r="B4" s="70" t="s">
        <v>525</v>
      </c>
      <c r="C4" s="71"/>
      <c r="D4" s="71"/>
      <c r="E4" s="72"/>
      <c r="F4" s="67"/>
      <c r="G4" s="73"/>
      <c r="H4" s="67"/>
      <c r="I4" s="67"/>
      <c r="J4" s="36"/>
      <c r="K4" s="36"/>
      <c r="L4" s="58"/>
      <c r="M4" s="74"/>
      <c r="N4" s="59"/>
      <c r="O4" s="59"/>
      <c r="P4" s="59"/>
      <c r="Q4" s="59"/>
      <c r="R4" s="59"/>
      <c r="S4" s="59"/>
      <c r="T4" s="59"/>
      <c r="U4" s="59"/>
      <c r="V4" s="59"/>
      <c r="W4" s="59"/>
      <c r="X4" s="59"/>
      <c r="Y4" s="59"/>
      <c r="Z4" s="59"/>
    </row>
    <row r="5" spans="1:26" ht="24" customHeight="1" x14ac:dyDescent="0.25">
      <c r="A5" s="128" t="s">
        <v>32</v>
      </c>
      <c r="B5" s="76" t="s">
        <v>34</v>
      </c>
      <c r="C5" s="76" t="s">
        <v>36</v>
      </c>
      <c r="D5" s="76" t="s">
        <v>37</v>
      </c>
      <c r="E5" s="77" t="s">
        <v>38</v>
      </c>
      <c r="F5" s="59"/>
      <c r="G5" s="78"/>
      <c r="H5" s="78"/>
      <c r="I5" s="78"/>
      <c r="J5" s="79"/>
      <c r="K5" s="79"/>
      <c r="L5" s="80"/>
      <c r="M5" s="59" t="s">
        <v>36</v>
      </c>
      <c r="N5" s="59"/>
      <c r="O5" s="59"/>
      <c r="P5" s="59"/>
      <c r="Q5" s="59"/>
      <c r="R5" s="59"/>
      <c r="S5" s="59"/>
      <c r="T5" s="59"/>
      <c r="U5" s="59"/>
      <c r="V5" s="59"/>
      <c r="W5" s="59"/>
      <c r="X5" s="59"/>
      <c r="Y5" s="59"/>
      <c r="Z5" s="59"/>
    </row>
    <row r="6" spans="1:26" ht="13.2" customHeight="1" thickBot="1" x14ac:dyDescent="0.3">
      <c r="A6" s="129">
        <f>COUNTIF(I9:I1007,"Pass")</f>
        <v>23</v>
      </c>
      <c r="B6" s="82">
        <f>COUNTIF(I9:I1007,"Fail")</f>
        <v>0</v>
      </c>
      <c r="C6" s="82">
        <f>E6-D6-A6-B6</f>
        <v>1</v>
      </c>
      <c r="D6" s="83">
        <f>COUNTIF(H$9:I$1007,"N/A")</f>
        <v>0</v>
      </c>
      <c r="E6" s="84">
        <f>COUNTA(A9:A1011)</f>
        <v>24</v>
      </c>
      <c r="F6" s="59"/>
      <c r="G6" s="85"/>
      <c r="H6" s="85"/>
      <c r="I6" s="86"/>
      <c r="J6" s="79"/>
      <c r="K6" s="79"/>
      <c r="L6" s="80"/>
      <c r="M6" s="59" t="s">
        <v>37</v>
      </c>
      <c r="N6" s="59"/>
      <c r="O6" s="59"/>
      <c r="P6" s="59"/>
      <c r="Q6" s="59"/>
      <c r="R6" s="59"/>
      <c r="S6" s="59"/>
      <c r="T6" s="59"/>
      <c r="U6" s="59"/>
      <c r="V6" s="59"/>
      <c r="W6" s="59"/>
      <c r="X6" s="59"/>
      <c r="Y6" s="59"/>
      <c r="Z6" s="59"/>
    </row>
    <row r="7" spans="1:26" ht="19.8" customHeight="1" x14ac:dyDescent="0.25">
      <c r="A7" s="130"/>
      <c r="B7" s="59"/>
      <c r="C7" s="59"/>
      <c r="D7" s="59"/>
      <c r="E7" s="59"/>
      <c r="F7" s="59"/>
      <c r="G7" s="59"/>
      <c r="H7" s="87"/>
      <c r="I7" s="79"/>
      <c r="J7" s="79"/>
      <c r="K7" s="79"/>
      <c r="L7" s="80"/>
      <c r="M7" s="59"/>
      <c r="N7" s="59"/>
      <c r="O7" s="59"/>
      <c r="P7" s="59"/>
      <c r="Q7" s="59"/>
      <c r="R7" s="59"/>
      <c r="S7" s="59"/>
      <c r="T7" s="59"/>
      <c r="U7" s="59"/>
      <c r="V7" s="59"/>
      <c r="W7" s="59"/>
      <c r="X7" s="59"/>
      <c r="Y7" s="59"/>
      <c r="Z7" s="59"/>
    </row>
    <row r="8" spans="1:26" ht="25.8" customHeight="1" x14ac:dyDescent="0.25">
      <c r="A8" s="131" t="s">
        <v>40</v>
      </c>
      <c r="B8" s="88" t="s">
        <v>41</v>
      </c>
      <c r="C8" s="88" t="s">
        <v>42</v>
      </c>
      <c r="D8" s="88" t="s">
        <v>43</v>
      </c>
      <c r="E8" s="88" t="s">
        <v>44</v>
      </c>
      <c r="F8" s="88" t="s">
        <v>45</v>
      </c>
      <c r="G8" s="88" t="s">
        <v>46</v>
      </c>
      <c r="H8" s="88" t="s">
        <v>47</v>
      </c>
      <c r="I8" s="89" t="s">
        <v>48</v>
      </c>
      <c r="J8" s="89" t="s">
        <v>49</v>
      </c>
      <c r="K8" s="88" t="s">
        <v>50</v>
      </c>
      <c r="L8" s="90"/>
      <c r="M8" s="59"/>
      <c r="N8" s="59"/>
      <c r="O8" s="59"/>
      <c r="P8" s="59"/>
      <c r="Q8" s="59"/>
      <c r="R8" s="59"/>
      <c r="S8" s="59"/>
      <c r="T8" s="59"/>
      <c r="U8" s="59"/>
      <c r="V8" s="59"/>
      <c r="W8" s="59"/>
      <c r="X8" s="59"/>
      <c r="Y8" s="59"/>
      <c r="Z8" s="59"/>
    </row>
    <row r="9" spans="1:26" s="151" customFormat="1" ht="61.8" customHeight="1" x14ac:dyDescent="0.25">
      <c r="A9" s="169" t="str">
        <f t="shared" ref="A9:A32" si="0">$B$2&amp;"-"&amp;ROW()-8</f>
        <v>Tìm kiếm-1</v>
      </c>
      <c r="B9" s="148" t="s">
        <v>59</v>
      </c>
      <c r="C9" s="148"/>
      <c r="D9" s="148" t="s">
        <v>112</v>
      </c>
      <c r="E9" s="148" t="s">
        <v>122</v>
      </c>
      <c r="F9" s="148" t="s">
        <v>302</v>
      </c>
      <c r="G9" s="148"/>
      <c r="H9" s="161" t="s">
        <v>540</v>
      </c>
      <c r="I9" s="148" t="s">
        <v>32</v>
      </c>
      <c r="J9" s="148"/>
      <c r="K9" s="161"/>
      <c r="L9" s="162"/>
      <c r="M9" s="156"/>
      <c r="N9" s="156"/>
      <c r="O9" s="156"/>
      <c r="P9" s="156"/>
      <c r="Q9" s="156"/>
      <c r="R9" s="156"/>
      <c r="S9" s="156"/>
      <c r="T9" s="156"/>
      <c r="U9" s="156"/>
      <c r="V9" s="156"/>
      <c r="W9" s="156"/>
      <c r="X9" s="156"/>
      <c r="Y9" s="156"/>
      <c r="Z9" s="156"/>
    </row>
    <row r="10" spans="1:26" s="151" customFormat="1" ht="66.599999999999994" customHeight="1" x14ac:dyDescent="0.25">
      <c r="A10" s="169" t="str">
        <f t="shared" si="0"/>
        <v>Tìm kiếm-2</v>
      </c>
      <c r="B10" s="148"/>
      <c r="C10" s="148"/>
      <c r="D10" s="148" t="s">
        <v>113</v>
      </c>
      <c r="E10" s="148" t="s">
        <v>123</v>
      </c>
      <c r="F10" s="148" t="s">
        <v>302</v>
      </c>
      <c r="G10" s="148" t="s">
        <v>499</v>
      </c>
      <c r="H10" s="161" t="s">
        <v>541</v>
      </c>
      <c r="I10" s="148" t="s">
        <v>32</v>
      </c>
      <c r="J10" s="148"/>
      <c r="K10" s="161"/>
      <c r="L10" s="149"/>
      <c r="M10" s="150"/>
      <c r="N10" s="150"/>
      <c r="O10" s="150"/>
      <c r="P10" s="150"/>
      <c r="Q10" s="150"/>
      <c r="R10" s="150"/>
      <c r="S10" s="150"/>
      <c r="T10" s="150"/>
      <c r="U10" s="150"/>
      <c r="V10" s="150"/>
      <c r="W10" s="150"/>
      <c r="X10" s="150"/>
      <c r="Y10" s="150"/>
      <c r="Z10" s="150"/>
    </row>
    <row r="11" spans="1:26" s="151" customFormat="1" ht="72" customHeight="1" x14ac:dyDescent="0.25">
      <c r="A11" s="169" t="str">
        <f t="shared" si="0"/>
        <v>Tìm kiếm-3</v>
      </c>
      <c r="B11" s="148" t="s">
        <v>60</v>
      </c>
      <c r="C11" s="148"/>
      <c r="D11" s="148" t="s">
        <v>64</v>
      </c>
      <c r="E11" s="148"/>
      <c r="F11" s="148" t="s">
        <v>65</v>
      </c>
      <c r="G11" s="148"/>
      <c r="H11" s="148" t="s">
        <v>542</v>
      </c>
      <c r="I11" s="148" t="s">
        <v>32</v>
      </c>
      <c r="J11" s="148"/>
      <c r="K11" s="148"/>
      <c r="L11" s="162"/>
      <c r="M11" s="156"/>
      <c r="N11" s="156"/>
      <c r="O11" s="156"/>
      <c r="P11" s="156"/>
      <c r="Q11" s="156"/>
      <c r="R11" s="156"/>
      <c r="S11" s="156"/>
      <c r="T11" s="156"/>
      <c r="U11" s="156"/>
      <c r="V11" s="156"/>
      <c r="W11" s="156"/>
      <c r="X11" s="156"/>
      <c r="Y11" s="156"/>
      <c r="Z11" s="156"/>
    </row>
    <row r="12" spans="1:26" s="151" customFormat="1" ht="55.05" customHeight="1" x14ac:dyDescent="0.25">
      <c r="A12" s="169" t="str">
        <f t="shared" si="0"/>
        <v>Tìm kiếm-4</v>
      </c>
      <c r="B12" s="148"/>
      <c r="C12" s="148"/>
      <c r="D12" s="148" t="s">
        <v>67</v>
      </c>
      <c r="E12" s="148"/>
      <c r="F12" s="148" t="s">
        <v>153</v>
      </c>
      <c r="G12" s="148"/>
      <c r="H12" s="148" t="s">
        <v>321</v>
      </c>
      <c r="I12" s="148" t="s">
        <v>32</v>
      </c>
      <c r="J12" s="148"/>
      <c r="K12" s="148"/>
      <c r="L12" s="149"/>
      <c r="M12" s="150"/>
      <c r="N12" s="150"/>
      <c r="O12" s="150"/>
      <c r="P12" s="150"/>
      <c r="Q12" s="150"/>
      <c r="R12" s="150"/>
      <c r="S12" s="150"/>
      <c r="T12" s="150"/>
      <c r="U12" s="150"/>
      <c r="V12" s="150"/>
      <c r="W12" s="150"/>
      <c r="X12" s="150"/>
      <c r="Y12" s="150"/>
      <c r="Z12" s="150"/>
    </row>
    <row r="13" spans="1:26" s="151" customFormat="1" ht="55.05" customHeight="1" x14ac:dyDescent="0.25">
      <c r="A13" s="169" t="str">
        <f t="shared" si="0"/>
        <v>Tìm kiếm-5</v>
      </c>
      <c r="B13" s="148"/>
      <c r="C13" s="148"/>
      <c r="D13" s="148" t="s">
        <v>68</v>
      </c>
      <c r="E13" s="148"/>
      <c r="F13" s="148" t="s">
        <v>155</v>
      </c>
      <c r="G13" s="148"/>
      <c r="H13" s="148" t="s">
        <v>322</v>
      </c>
      <c r="I13" s="148" t="s">
        <v>32</v>
      </c>
      <c r="J13" s="148"/>
      <c r="K13" s="148"/>
      <c r="L13" s="149"/>
      <c r="M13" s="150"/>
      <c r="N13" s="150"/>
      <c r="O13" s="150"/>
      <c r="P13" s="150"/>
      <c r="Q13" s="150"/>
      <c r="R13" s="150"/>
      <c r="S13" s="150"/>
      <c r="T13" s="150"/>
      <c r="U13" s="150"/>
      <c r="V13" s="150"/>
      <c r="W13" s="150"/>
      <c r="X13" s="150"/>
      <c r="Y13" s="150"/>
      <c r="Z13" s="150"/>
    </row>
    <row r="14" spans="1:26" s="151" customFormat="1" ht="55.05" customHeight="1" x14ac:dyDescent="0.25">
      <c r="A14" s="169" t="str">
        <f t="shared" si="0"/>
        <v>Tìm kiếm-6</v>
      </c>
      <c r="B14" s="148"/>
      <c r="C14" s="148"/>
      <c r="D14" s="148" t="s">
        <v>69</v>
      </c>
      <c r="E14" s="148"/>
      <c r="F14" s="148" t="s">
        <v>303</v>
      </c>
      <c r="G14" s="148"/>
      <c r="H14" s="148" t="s">
        <v>323</v>
      </c>
      <c r="I14" s="148" t="s">
        <v>32</v>
      </c>
      <c r="J14" s="148"/>
      <c r="K14" s="148"/>
      <c r="L14" s="149"/>
      <c r="M14" s="150"/>
      <c r="N14" s="150"/>
      <c r="O14" s="150"/>
      <c r="P14" s="150"/>
      <c r="Q14" s="150"/>
      <c r="R14" s="150"/>
      <c r="S14" s="150"/>
      <c r="T14" s="150"/>
      <c r="U14" s="150"/>
      <c r="V14" s="150"/>
      <c r="W14" s="150"/>
      <c r="X14" s="150"/>
      <c r="Y14" s="150"/>
      <c r="Z14" s="150"/>
    </row>
    <row r="15" spans="1:26" s="151" customFormat="1" ht="50.55" customHeight="1" x14ac:dyDescent="0.25">
      <c r="A15" s="169" t="str">
        <f t="shared" si="0"/>
        <v>Tìm kiếm-7</v>
      </c>
      <c r="B15" s="148" t="s">
        <v>62</v>
      </c>
      <c r="C15" s="148" t="s">
        <v>72</v>
      </c>
      <c r="D15" s="148" t="s">
        <v>73</v>
      </c>
      <c r="E15" s="148" t="s">
        <v>268</v>
      </c>
      <c r="F15" s="148" t="s">
        <v>270</v>
      </c>
      <c r="G15" s="148" t="s">
        <v>324</v>
      </c>
      <c r="H15" s="148" t="s">
        <v>378</v>
      </c>
      <c r="I15" s="148" t="s">
        <v>32</v>
      </c>
      <c r="J15" s="148"/>
      <c r="K15" s="148"/>
      <c r="L15" s="162"/>
      <c r="M15" s="156"/>
      <c r="N15" s="156"/>
      <c r="O15" s="156"/>
      <c r="P15" s="156"/>
      <c r="Q15" s="156"/>
      <c r="R15" s="156"/>
      <c r="S15" s="156"/>
      <c r="T15" s="156"/>
      <c r="U15" s="156"/>
      <c r="V15" s="156"/>
      <c r="W15" s="156"/>
      <c r="X15" s="156"/>
      <c r="Y15" s="156"/>
      <c r="Z15" s="156"/>
    </row>
    <row r="16" spans="1:26" s="151" customFormat="1" ht="72" customHeight="1" x14ac:dyDescent="0.25">
      <c r="A16" s="169" t="str">
        <f t="shared" si="0"/>
        <v>Tìm kiếm-8</v>
      </c>
      <c r="B16" s="148"/>
      <c r="C16" s="148"/>
      <c r="D16" s="148" t="s">
        <v>74</v>
      </c>
      <c r="E16" s="148" t="s">
        <v>268</v>
      </c>
      <c r="F16" s="148" t="s">
        <v>271</v>
      </c>
      <c r="G16" s="148" t="s">
        <v>272</v>
      </c>
      <c r="H16" s="148" t="s">
        <v>379</v>
      </c>
      <c r="I16" s="148" t="s">
        <v>32</v>
      </c>
      <c r="J16" s="148"/>
      <c r="K16" s="148"/>
      <c r="L16" s="162"/>
      <c r="M16" s="156"/>
      <c r="N16" s="156"/>
      <c r="O16" s="156"/>
      <c r="P16" s="156"/>
      <c r="Q16" s="156"/>
      <c r="R16" s="156"/>
      <c r="S16" s="156"/>
      <c r="T16" s="156"/>
      <c r="U16" s="156"/>
      <c r="V16" s="156"/>
      <c r="W16" s="156"/>
      <c r="X16" s="156"/>
      <c r="Y16" s="156"/>
      <c r="Z16" s="156"/>
    </row>
    <row r="17" spans="1:26" s="151" customFormat="1" ht="69" customHeight="1" x14ac:dyDescent="0.25">
      <c r="A17" s="169" t="str">
        <f t="shared" si="0"/>
        <v>Tìm kiếm-9</v>
      </c>
      <c r="B17" s="148"/>
      <c r="C17" s="148"/>
      <c r="D17" s="148" t="s">
        <v>377</v>
      </c>
      <c r="E17" s="148" t="s">
        <v>268</v>
      </c>
      <c r="F17" s="148" t="s">
        <v>273</v>
      </c>
      <c r="G17" s="148" t="s">
        <v>274</v>
      </c>
      <c r="H17" s="148" t="s">
        <v>380</v>
      </c>
      <c r="I17" s="148" t="s">
        <v>32</v>
      </c>
      <c r="J17" s="148"/>
      <c r="K17" s="148"/>
      <c r="L17" s="149"/>
      <c r="M17" s="150"/>
      <c r="N17" s="150"/>
      <c r="O17" s="150"/>
      <c r="P17" s="150"/>
      <c r="Q17" s="150"/>
      <c r="R17" s="150"/>
      <c r="S17" s="150"/>
      <c r="T17" s="150"/>
      <c r="U17" s="150"/>
      <c r="V17" s="150"/>
      <c r="W17" s="150"/>
      <c r="X17" s="150"/>
      <c r="Y17" s="150"/>
      <c r="Z17" s="150"/>
    </row>
    <row r="18" spans="1:26" s="151" customFormat="1" ht="75.599999999999994" customHeight="1" x14ac:dyDescent="0.25">
      <c r="A18" s="169" t="str">
        <f t="shared" si="0"/>
        <v>Tìm kiếm-10</v>
      </c>
      <c r="B18" s="148"/>
      <c r="C18" s="148"/>
      <c r="D18" s="148" t="s">
        <v>75</v>
      </c>
      <c r="E18" s="148" t="s">
        <v>268</v>
      </c>
      <c r="F18" s="148" t="s">
        <v>275</v>
      </c>
      <c r="G18" s="148" t="s">
        <v>276</v>
      </c>
      <c r="H18" s="148" t="s">
        <v>381</v>
      </c>
      <c r="I18" s="148" t="s">
        <v>32</v>
      </c>
      <c r="J18" s="148"/>
      <c r="K18" s="148"/>
      <c r="L18" s="149"/>
      <c r="M18" s="150"/>
      <c r="N18" s="150"/>
      <c r="O18" s="150"/>
      <c r="P18" s="150"/>
      <c r="Q18" s="150"/>
      <c r="R18" s="150"/>
      <c r="S18" s="150"/>
      <c r="T18" s="150"/>
      <c r="U18" s="150"/>
      <c r="V18" s="150"/>
      <c r="W18" s="150"/>
      <c r="X18" s="150"/>
      <c r="Y18" s="150"/>
      <c r="Z18" s="150"/>
    </row>
    <row r="19" spans="1:26" s="151" customFormat="1" ht="66" customHeight="1" x14ac:dyDescent="0.25">
      <c r="A19" s="169" t="str">
        <f t="shared" si="0"/>
        <v>Tìm kiếm-11</v>
      </c>
      <c r="B19" s="148"/>
      <c r="C19" s="148"/>
      <c r="D19" s="148" t="s">
        <v>76</v>
      </c>
      <c r="E19" s="148" t="s">
        <v>268</v>
      </c>
      <c r="F19" s="148" t="s">
        <v>277</v>
      </c>
      <c r="G19" s="148" t="s">
        <v>278</v>
      </c>
      <c r="H19" s="148" t="s">
        <v>382</v>
      </c>
      <c r="I19" s="148" t="s">
        <v>32</v>
      </c>
      <c r="J19" s="148"/>
      <c r="K19" s="148"/>
      <c r="L19" s="162"/>
      <c r="M19" s="156"/>
      <c r="N19" s="156"/>
      <c r="O19" s="156"/>
      <c r="P19" s="156"/>
      <c r="Q19" s="156"/>
      <c r="R19" s="156"/>
      <c r="S19" s="156"/>
      <c r="T19" s="156"/>
      <c r="U19" s="156"/>
      <c r="V19" s="156"/>
      <c r="W19" s="156"/>
      <c r="X19" s="156"/>
      <c r="Y19" s="156"/>
      <c r="Z19" s="156"/>
    </row>
    <row r="20" spans="1:26" s="151" customFormat="1" ht="74.400000000000006" customHeight="1" x14ac:dyDescent="0.25">
      <c r="A20" s="169" t="str">
        <f t="shared" si="0"/>
        <v>Tìm kiếm-12</v>
      </c>
      <c r="B20" s="148"/>
      <c r="C20" s="148"/>
      <c r="D20" s="148" t="s">
        <v>77</v>
      </c>
      <c r="E20" s="148" t="s">
        <v>268</v>
      </c>
      <c r="F20" s="148" t="s">
        <v>279</v>
      </c>
      <c r="G20" s="148" t="s">
        <v>280</v>
      </c>
      <c r="H20" s="148" t="s">
        <v>383</v>
      </c>
      <c r="I20" s="148" t="s">
        <v>32</v>
      </c>
      <c r="J20" s="148"/>
      <c r="K20" s="148"/>
      <c r="L20" s="149"/>
      <c r="M20" s="150"/>
      <c r="N20" s="150"/>
      <c r="O20" s="150"/>
      <c r="P20" s="150"/>
      <c r="Q20" s="150"/>
      <c r="R20" s="150"/>
      <c r="S20" s="150"/>
      <c r="T20" s="150"/>
      <c r="U20" s="150"/>
      <c r="V20" s="150"/>
      <c r="W20" s="150"/>
      <c r="X20" s="150"/>
      <c r="Y20" s="150"/>
      <c r="Z20" s="150"/>
    </row>
    <row r="21" spans="1:26" s="151" customFormat="1" ht="54.6" customHeight="1" x14ac:dyDescent="0.25">
      <c r="A21" s="169" t="str">
        <f t="shared" si="0"/>
        <v>Tìm kiếm-13</v>
      </c>
      <c r="B21" s="148"/>
      <c r="C21" s="148"/>
      <c r="D21" s="148" t="s">
        <v>78</v>
      </c>
      <c r="E21" s="148" t="s">
        <v>268</v>
      </c>
      <c r="F21" s="148" t="s">
        <v>281</v>
      </c>
      <c r="G21" s="148" t="s">
        <v>282</v>
      </c>
      <c r="H21" s="148" t="s">
        <v>437</v>
      </c>
      <c r="I21" s="148" t="s">
        <v>32</v>
      </c>
      <c r="J21" s="148"/>
      <c r="K21" s="148"/>
      <c r="L21" s="149"/>
      <c r="M21" s="150"/>
      <c r="N21" s="150"/>
      <c r="O21" s="150"/>
      <c r="P21" s="150"/>
      <c r="Q21" s="150"/>
      <c r="R21" s="150"/>
      <c r="S21" s="150"/>
      <c r="T21" s="150"/>
      <c r="U21" s="150"/>
      <c r="V21" s="150"/>
      <c r="W21" s="150"/>
      <c r="X21" s="150"/>
      <c r="Y21" s="150"/>
      <c r="Z21" s="150"/>
    </row>
    <row r="22" spans="1:26" s="151" customFormat="1" ht="51" customHeight="1" x14ac:dyDescent="0.25">
      <c r="A22" s="169" t="str">
        <f t="shared" si="0"/>
        <v>Tìm kiếm-14</v>
      </c>
      <c r="B22" s="148"/>
      <c r="C22" s="148"/>
      <c r="D22" s="148" t="s">
        <v>79</v>
      </c>
      <c r="E22" s="148" t="s">
        <v>268</v>
      </c>
      <c r="F22" s="148" t="s">
        <v>283</v>
      </c>
      <c r="G22" s="148" t="s">
        <v>284</v>
      </c>
      <c r="H22" s="148" t="s">
        <v>437</v>
      </c>
      <c r="I22" s="148" t="s">
        <v>32</v>
      </c>
      <c r="J22" s="148"/>
      <c r="K22" s="148"/>
      <c r="L22" s="149"/>
      <c r="M22" s="150"/>
      <c r="N22" s="150"/>
      <c r="O22" s="150"/>
      <c r="P22" s="150"/>
      <c r="Q22" s="150"/>
      <c r="R22" s="150"/>
      <c r="S22" s="150"/>
      <c r="T22" s="150"/>
      <c r="U22" s="150"/>
      <c r="V22" s="150"/>
      <c r="W22" s="150"/>
      <c r="X22" s="150"/>
      <c r="Y22" s="150"/>
      <c r="Z22" s="150"/>
    </row>
    <row r="23" spans="1:26" s="151" customFormat="1" ht="74.400000000000006" customHeight="1" x14ac:dyDescent="0.25">
      <c r="A23" s="169" t="str">
        <f t="shared" si="0"/>
        <v>Tìm kiếm-15</v>
      </c>
      <c r="B23" s="148"/>
      <c r="C23" s="148"/>
      <c r="D23" s="148" t="s">
        <v>266</v>
      </c>
      <c r="E23" s="148" t="s">
        <v>269</v>
      </c>
      <c r="F23" s="148" t="s">
        <v>285</v>
      </c>
      <c r="G23" s="148" t="s">
        <v>384</v>
      </c>
      <c r="H23" s="148" t="s">
        <v>438</v>
      </c>
      <c r="I23" s="148" t="s">
        <v>32</v>
      </c>
      <c r="J23" s="148"/>
      <c r="K23" s="148"/>
      <c r="L23" s="149"/>
      <c r="M23" s="150"/>
      <c r="N23" s="150"/>
      <c r="O23" s="150"/>
      <c r="P23" s="150"/>
      <c r="Q23" s="150"/>
      <c r="R23" s="150"/>
      <c r="S23" s="150"/>
      <c r="T23" s="150"/>
      <c r="U23" s="150"/>
      <c r="V23" s="150"/>
      <c r="W23" s="150"/>
      <c r="X23" s="150"/>
      <c r="Y23" s="150"/>
      <c r="Z23" s="150"/>
    </row>
    <row r="24" spans="1:26" s="151" customFormat="1" ht="75.599999999999994" customHeight="1" x14ac:dyDescent="0.25">
      <c r="A24" s="169" t="str">
        <f t="shared" si="0"/>
        <v>Tìm kiếm-16</v>
      </c>
      <c r="B24" s="159"/>
      <c r="C24" s="159"/>
      <c r="D24" s="159" t="s">
        <v>114</v>
      </c>
      <c r="E24" s="148" t="s">
        <v>268</v>
      </c>
      <c r="F24" s="159" t="s">
        <v>286</v>
      </c>
      <c r="G24" s="159" t="s">
        <v>287</v>
      </c>
      <c r="H24" s="159" t="s">
        <v>385</v>
      </c>
      <c r="I24" s="159" t="s">
        <v>32</v>
      </c>
      <c r="J24" s="159"/>
      <c r="K24" s="148"/>
      <c r="L24" s="149"/>
      <c r="M24" s="150"/>
      <c r="N24" s="150"/>
      <c r="O24" s="150"/>
      <c r="P24" s="150"/>
      <c r="Q24" s="150"/>
      <c r="R24" s="150"/>
      <c r="S24" s="150"/>
      <c r="T24" s="150"/>
      <c r="U24" s="150"/>
      <c r="V24" s="150"/>
      <c r="W24" s="150"/>
      <c r="X24" s="150"/>
      <c r="Y24" s="150"/>
      <c r="Z24" s="150"/>
    </row>
    <row r="25" spans="1:26" s="151" customFormat="1" ht="45.6" customHeight="1" x14ac:dyDescent="0.25">
      <c r="A25" s="169" t="str">
        <f t="shared" si="0"/>
        <v>Tìm kiếm-17</v>
      </c>
      <c r="B25" s="159"/>
      <c r="C25" s="159"/>
      <c r="D25" s="159" t="s">
        <v>260</v>
      </c>
      <c r="E25" s="148" t="s">
        <v>268</v>
      </c>
      <c r="F25" s="159" t="s">
        <v>288</v>
      </c>
      <c r="G25" s="159" t="s">
        <v>289</v>
      </c>
      <c r="H25" s="159" t="s">
        <v>386</v>
      </c>
      <c r="I25" s="159" t="s">
        <v>32</v>
      </c>
      <c r="J25" s="159"/>
      <c r="K25" s="148"/>
      <c r="L25" s="149"/>
      <c r="M25" s="150"/>
      <c r="N25" s="150"/>
      <c r="O25" s="150"/>
      <c r="P25" s="150"/>
      <c r="Q25" s="150"/>
      <c r="R25" s="150"/>
      <c r="S25" s="150"/>
      <c r="T25" s="150"/>
      <c r="U25" s="150"/>
      <c r="V25" s="150"/>
      <c r="W25" s="150"/>
      <c r="X25" s="150"/>
      <c r="Y25" s="150"/>
      <c r="Z25" s="150"/>
    </row>
    <row r="26" spans="1:26" s="151" customFormat="1" ht="68.400000000000006" customHeight="1" x14ac:dyDescent="0.25">
      <c r="A26" s="169" t="str">
        <f t="shared" si="0"/>
        <v>Tìm kiếm-18</v>
      </c>
      <c r="B26" s="159"/>
      <c r="C26" s="159"/>
      <c r="D26" s="159" t="s">
        <v>261</v>
      </c>
      <c r="E26" s="148" t="s">
        <v>268</v>
      </c>
      <c r="F26" s="159" t="s">
        <v>290</v>
      </c>
      <c r="G26" s="159" t="s">
        <v>291</v>
      </c>
      <c r="H26" s="148" t="s">
        <v>387</v>
      </c>
      <c r="I26" s="159" t="s">
        <v>32</v>
      </c>
      <c r="J26" s="159"/>
      <c r="K26" s="148"/>
      <c r="L26" s="149"/>
      <c r="M26" s="150"/>
      <c r="N26" s="150"/>
      <c r="O26" s="150"/>
      <c r="P26" s="150"/>
      <c r="Q26" s="150"/>
      <c r="R26" s="150"/>
      <c r="S26" s="150"/>
      <c r="T26" s="150"/>
      <c r="U26" s="150"/>
      <c r="V26" s="150"/>
      <c r="W26" s="150"/>
      <c r="X26" s="150"/>
      <c r="Y26" s="150"/>
      <c r="Z26" s="150"/>
    </row>
    <row r="27" spans="1:26" s="151" customFormat="1" ht="81.599999999999994" customHeight="1" x14ac:dyDescent="0.25">
      <c r="A27" s="169" t="str">
        <f t="shared" si="0"/>
        <v>Tìm kiếm-19</v>
      </c>
      <c r="B27" s="159"/>
      <c r="C27" s="159"/>
      <c r="D27" s="159" t="s">
        <v>264</v>
      </c>
      <c r="E27" s="148" t="s">
        <v>268</v>
      </c>
      <c r="F27" s="159" t="s">
        <v>292</v>
      </c>
      <c r="G27" s="159" t="s">
        <v>293</v>
      </c>
      <c r="H27" s="148" t="s">
        <v>388</v>
      </c>
      <c r="I27" s="159" t="s">
        <v>32</v>
      </c>
      <c r="J27" s="159"/>
      <c r="K27" s="148"/>
      <c r="L27" s="149"/>
      <c r="M27" s="150"/>
      <c r="N27" s="150"/>
      <c r="O27" s="150"/>
      <c r="P27" s="150"/>
      <c r="Q27" s="150"/>
      <c r="R27" s="150"/>
      <c r="S27" s="150"/>
      <c r="T27" s="150"/>
      <c r="U27" s="150"/>
      <c r="V27" s="150"/>
      <c r="W27" s="150"/>
      <c r="X27" s="150"/>
      <c r="Y27" s="150"/>
      <c r="Z27" s="150"/>
    </row>
    <row r="28" spans="1:26" s="151" customFormat="1" ht="73.8" customHeight="1" x14ac:dyDescent="0.25">
      <c r="A28" s="169" t="str">
        <f t="shared" si="0"/>
        <v>Tìm kiếm-20</v>
      </c>
      <c r="B28" s="159"/>
      <c r="C28" s="159"/>
      <c r="D28" s="159" t="s">
        <v>265</v>
      </c>
      <c r="E28" s="148" t="s">
        <v>268</v>
      </c>
      <c r="F28" s="159" t="s">
        <v>294</v>
      </c>
      <c r="G28" s="159" t="s">
        <v>295</v>
      </c>
      <c r="H28" s="148" t="s">
        <v>389</v>
      </c>
      <c r="I28" s="159" t="s">
        <v>32</v>
      </c>
      <c r="J28" s="159"/>
      <c r="K28" s="148"/>
      <c r="L28" s="149"/>
      <c r="M28" s="150"/>
      <c r="N28" s="150"/>
      <c r="O28" s="150"/>
      <c r="P28" s="150"/>
      <c r="Q28" s="150"/>
      <c r="R28" s="150"/>
      <c r="S28" s="150"/>
      <c r="T28" s="150"/>
      <c r="U28" s="150"/>
      <c r="V28" s="150"/>
      <c r="W28" s="150"/>
      <c r="X28" s="150"/>
      <c r="Y28" s="150"/>
      <c r="Z28" s="150"/>
    </row>
    <row r="29" spans="1:26" s="176" customFormat="1" ht="71.400000000000006" customHeight="1" x14ac:dyDescent="0.25">
      <c r="A29" s="169" t="str">
        <f t="shared" si="0"/>
        <v>Tìm kiếm-21</v>
      </c>
      <c r="B29" s="159"/>
      <c r="C29" s="159"/>
      <c r="D29" s="159" t="s">
        <v>267</v>
      </c>
      <c r="E29" s="148" t="s">
        <v>268</v>
      </c>
      <c r="F29" s="159" t="s">
        <v>296</v>
      </c>
      <c r="G29" s="159" t="s">
        <v>297</v>
      </c>
      <c r="H29" s="159" t="s">
        <v>543</v>
      </c>
      <c r="I29" s="159" t="s">
        <v>32</v>
      </c>
      <c r="J29" s="159"/>
      <c r="K29" s="148"/>
      <c r="L29" s="149"/>
      <c r="M29" s="150"/>
      <c r="N29" s="150"/>
      <c r="O29" s="150"/>
      <c r="P29" s="150"/>
      <c r="Q29" s="150"/>
      <c r="R29" s="150"/>
      <c r="S29" s="150"/>
      <c r="T29" s="150"/>
      <c r="U29" s="150"/>
      <c r="V29" s="150"/>
      <c r="W29" s="150"/>
      <c r="X29" s="150"/>
      <c r="Y29" s="150"/>
      <c r="Z29" s="150"/>
    </row>
    <row r="30" spans="1:26" s="166" customFormat="1" ht="77.400000000000006" customHeight="1" x14ac:dyDescent="0.25">
      <c r="A30" s="169" t="str">
        <f t="shared" si="0"/>
        <v>Tìm kiếm-22</v>
      </c>
      <c r="B30" s="165"/>
      <c r="C30" s="165"/>
      <c r="D30" s="157" t="s">
        <v>263</v>
      </c>
      <c r="E30" s="148" t="s">
        <v>268</v>
      </c>
      <c r="F30" s="159" t="s">
        <v>298</v>
      </c>
      <c r="G30" s="157" t="s">
        <v>544</v>
      </c>
      <c r="H30" s="157" t="s">
        <v>439</v>
      </c>
      <c r="I30" s="159" t="s">
        <v>32</v>
      </c>
      <c r="J30" s="165"/>
      <c r="K30" s="165"/>
      <c r="L30" s="165"/>
      <c r="M30" s="165"/>
      <c r="N30" s="165"/>
      <c r="O30" s="165"/>
      <c r="P30" s="165"/>
      <c r="Q30" s="165"/>
      <c r="R30" s="165"/>
      <c r="S30" s="165"/>
      <c r="T30" s="165"/>
      <c r="U30" s="165"/>
      <c r="V30" s="165"/>
      <c r="W30" s="165"/>
      <c r="X30" s="165"/>
      <c r="Y30" s="165"/>
      <c r="Z30" s="165"/>
    </row>
    <row r="31" spans="1:26" s="166" customFormat="1" ht="77.400000000000006" customHeight="1" x14ac:dyDescent="0.25">
      <c r="A31" s="169" t="str">
        <f t="shared" si="0"/>
        <v>Tìm kiếm-23</v>
      </c>
      <c r="B31" s="165"/>
      <c r="C31" s="165"/>
      <c r="D31" s="157" t="s">
        <v>262</v>
      </c>
      <c r="E31" s="148" t="s">
        <v>268</v>
      </c>
      <c r="F31" s="159" t="s">
        <v>299</v>
      </c>
      <c r="G31" s="158" t="s">
        <v>300</v>
      </c>
      <c r="H31" s="157" t="s">
        <v>333</v>
      </c>
      <c r="I31" s="159" t="s">
        <v>32</v>
      </c>
      <c r="J31" s="165"/>
      <c r="K31" s="165"/>
      <c r="L31" s="165"/>
      <c r="M31" s="165"/>
      <c r="N31" s="165"/>
      <c r="O31" s="165"/>
      <c r="P31" s="165"/>
      <c r="Q31" s="165"/>
      <c r="R31" s="165"/>
      <c r="S31" s="165"/>
      <c r="T31" s="165"/>
      <c r="U31" s="165"/>
      <c r="V31" s="165"/>
      <c r="W31" s="165"/>
      <c r="X31" s="165"/>
      <c r="Y31" s="165"/>
      <c r="Z31" s="165"/>
    </row>
    <row r="32" spans="1:26" s="166" customFormat="1" ht="48" customHeight="1" x14ac:dyDescent="0.25">
      <c r="A32" s="169" t="str">
        <f t="shared" si="0"/>
        <v>Tìm kiếm-24</v>
      </c>
      <c r="B32" s="165"/>
      <c r="C32" s="165"/>
      <c r="D32" s="157" t="s">
        <v>673</v>
      </c>
      <c r="E32" s="148" t="s">
        <v>301</v>
      </c>
      <c r="F32" s="186" t="s">
        <v>296</v>
      </c>
      <c r="G32" s="187" t="s">
        <v>297</v>
      </c>
      <c r="H32" s="188" t="s">
        <v>335</v>
      </c>
      <c r="I32" s="158" t="s">
        <v>36</v>
      </c>
      <c r="J32" s="165"/>
      <c r="K32" s="165"/>
      <c r="L32" s="165"/>
      <c r="M32" s="165"/>
      <c r="N32" s="165"/>
      <c r="O32" s="165"/>
      <c r="P32" s="165"/>
      <c r="Q32" s="165"/>
      <c r="R32" s="165"/>
      <c r="S32" s="165"/>
      <c r="T32" s="165"/>
      <c r="U32" s="165"/>
      <c r="V32" s="165"/>
      <c r="W32" s="165"/>
      <c r="X32" s="165"/>
      <c r="Y32" s="165"/>
      <c r="Z32" s="165"/>
    </row>
    <row r="33" spans="1:26" ht="12.75" customHeight="1" x14ac:dyDescent="0.25">
      <c r="A33" s="133"/>
      <c r="B33" s="8"/>
      <c r="C33" s="8"/>
      <c r="D33" s="8"/>
      <c r="E33" s="8"/>
      <c r="F33" s="8"/>
      <c r="G33" s="8"/>
      <c r="H33" s="8"/>
      <c r="I33" s="8"/>
      <c r="J33" s="8"/>
      <c r="K33" s="8"/>
      <c r="L33" s="94"/>
      <c r="M33" s="8"/>
      <c r="N33" s="8"/>
      <c r="O33" s="8"/>
      <c r="P33" s="8"/>
      <c r="Q33" s="8"/>
      <c r="R33" s="8"/>
      <c r="S33" s="8"/>
      <c r="T33" s="8"/>
      <c r="U33" s="8"/>
      <c r="V33" s="8"/>
      <c r="W33" s="8"/>
      <c r="X33" s="8"/>
      <c r="Y33" s="8"/>
      <c r="Z33" s="8"/>
    </row>
    <row r="34" spans="1:26" ht="12.75" customHeight="1" x14ac:dyDescent="0.25">
      <c r="A34" s="133"/>
      <c r="B34" s="8"/>
      <c r="C34" s="8"/>
      <c r="D34" s="8"/>
      <c r="E34" s="8"/>
      <c r="F34" s="8"/>
      <c r="G34" s="8"/>
      <c r="H34" s="8"/>
      <c r="I34" s="8"/>
      <c r="J34" s="8"/>
      <c r="K34" s="8"/>
      <c r="L34" s="94"/>
      <c r="M34" s="8"/>
      <c r="N34" s="8"/>
      <c r="O34" s="8"/>
      <c r="P34" s="8"/>
      <c r="Q34" s="8"/>
      <c r="R34" s="8"/>
      <c r="S34" s="8"/>
      <c r="T34" s="8"/>
      <c r="U34" s="8"/>
      <c r="V34" s="8"/>
      <c r="W34" s="8"/>
      <c r="X34" s="8"/>
      <c r="Y34" s="8"/>
      <c r="Z34" s="8"/>
    </row>
    <row r="35" spans="1:26" ht="12.75" customHeight="1" x14ac:dyDescent="0.25">
      <c r="A35" s="133"/>
      <c r="B35" s="8"/>
      <c r="C35" s="8"/>
      <c r="D35" s="8"/>
      <c r="E35" s="8"/>
      <c r="F35" s="8"/>
      <c r="G35" s="8"/>
      <c r="H35" s="8"/>
      <c r="I35" s="8"/>
      <c r="J35" s="8"/>
      <c r="K35" s="8"/>
      <c r="L35" s="94"/>
      <c r="M35" s="8"/>
      <c r="N35" s="8"/>
      <c r="O35" s="8"/>
      <c r="P35" s="8"/>
      <c r="Q35" s="8"/>
      <c r="R35" s="8"/>
      <c r="S35" s="8"/>
      <c r="T35" s="8"/>
      <c r="U35" s="8"/>
      <c r="V35" s="8"/>
      <c r="W35" s="8"/>
      <c r="X35" s="8"/>
      <c r="Y35" s="8"/>
      <c r="Z35" s="8"/>
    </row>
    <row r="36" spans="1:26" ht="12.75" customHeight="1" x14ac:dyDescent="0.25">
      <c r="A36" s="133"/>
      <c r="B36" s="8"/>
      <c r="C36" s="8"/>
      <c r="D36" s="8"/>
      <c r="E36" s="8"/>
      <c r="F36" s="8"/>
      <c r="G36" s="8"/>
      <c r="H36" s="8"/>
      <c r="I36" s="8"/>
      <c r="J36" s="8"/>
      <c r="K36" s="8"/>
      <c r="L36" s="94"/>
      <c r="M36" s="8"/>
      <c r="N36" s="8"/>
      <c r="O36" s="8"/>
      <c r="P36" s="8"/>
      <c r="Q36" s="8"/>
      <c r="R36" s="8"/>
      <c r="S36" s="8"/>
      <c r="T36" s="8"/>
      <c r="U36" s="8"/>
      <c r="V36" s="8"/>
      <c r="W36" s="8"/>
      <c r="X36" s="8"/>
      <c r="Y36" s="8"/>
      <c r="Z36" s="8"/>
    </row>
    <row r="37" spans="1:26" ht="12.75" customHeight="1" x14ac:dyDescent="0.25">
      <c r="A37" s="133"/>
      <c r="B37" s="8"/>
      <c r="C37" s="8"/>
      <c r="D37" s="8"/>
      <c r="E37" s="8"/>
      <c r="F37" s="8"/>
      <c r="G37" s="8"/>
      <c r="H37" s="8"/>
      <c r="I37" s="8"/>
      <c r="J37" s="8"/>
      <c r="K37" s="8"/>
      <c r="L37" s="94"/>
      <c r="M37" s="8"/>
      <c r="N37" s="8"/>
      <c r="O37" s="8"/>
      <c r="P37" s="8"/>
      <c r="Q37" s="8"/>
      <c r="R37" s="8"/>
      <c r="S37" s="8"/>
      <c r="T37" s="8"/>
      <c r="U37" s="8"/>
      <c r="V37" s="8"/>
      <c r="W37" s="8"/>
      <c r="X37" s="8"/>
      <c r="Y37" s="8"/>
      <c r="Z37" s="8"/>
    </row>
    <row r="38" spans="1:26" ht="12.75" customHeight="1" x14ac:dyDescent="0.25">
      <c r="A38" s="133"/>
      <c r="B38" s="8"/>
      <c r="C38" s="8"/>
      <c r="D38" s="8"/>
      <c r="E38" s="8"/>
      <c r="F38" s="8"/>
      <c r="G38" s="8"/>
      <c r="H38" s="8"/>
      <c r="I38" s="8"/>
      <c r="J38" s="8"/>
      <c r="K38" s="8"/>
      <c r="L38" s="94"/>
      <c r="M38" s="8"/>
      <c r="N38" s="8"/>
      <c r="O38" s="8"/>
      <c r="P38" s="8"/>
      <c r="Q38" s="8"/>
      <c r="R38" s="8"/>
      <c r="S38" s="8"/>
      <c r="T38" s="8"/>
      <c r="U38" s="8"/>
      <c r="V38" s="8"/>
      <c r="W38" s="8"/>
      <c r="X38" s="8"/>
      <c r="Y38" s="8"/>
      <c r="Z38" s="8"/>
    </row>
    <row r="39" spans="1:26" ht="12.75" customHeight="1" x14ac:dyDescent="0.25">
      <c r="A39" s="133"/>
      <c r="B39" s="8"/>
      <c r="C39" s="8"/>
      <c r="D39" s="8"/>
      <c r="E39" s="8"/>
      <c r="F39" s="8"/>
      <c r="G39" s="8"/>
      <c r="H39" s="8"/>
      <c r="I39" s="8"/>
      <c r="J39" s="8"/>
      <c r="K39" s="8"/>
      <c r="L39" s="94"/>
      <c r="M39" s="8"/>
      <c r="N39" s="8"/>
      <c r="O39" s="8"/>
      <c r="P39" s="8"/>
      <c r="Q39" s="8"/>
      <c r="R39" s="8"/>
      <c r="S39" s="8"/>
      <c r="T39" s="8"/>
      <c r="U39" s="8"/>
      <c r="V39" s="8"/>
      <c r="W39" s="8"/>
      <c r="X39" s="8"/>
      <c r="Y39" s="8"/>
      <c r="Z39" s="8"/>
    </row>
    <row r="40" spans="1:26" ht="12.75" customHeight="1" x14ac:dyDescent="0.25">
      <c r="A40" s="133"/>
      <c r="B40" s="8"/>
      <c r="C40" s="8"/>
      <c r="D40" s="8"/>
      <c r="E40" s="8"/>
      <c r="F40" s="8"/>
      <c r="G40" s="8"/>
      <c r="H40" s="8"/>
      <c r="I40" s="8"/>
      <c r="J40" s="8"/>
      <c r="K40" s="8"/>
      <c r="L40" s="94"/>
      <c r="M40" s="8"/>
      <c r="N40" s="8"/>
      <c r="O40" s="8"/>
      <c r="P40" s="8"/>
      <c r="Q40" s="8"/>
      <c r="R40" s="8"/>
      <c r="S40" s="8"/>
      <c r="T40" s="8"/>
      <c r="U40" s="8"/>
      <c r="V40" s="8"/>
      <c r="W40" s="8"/>
      <c r="X40" s="8"/>
      <c r="Y40" s="8"/>
      <c r="Z40" s="8"/>
    </row>
    <row r="41" spans="1:26" ht="12.75" customHeight="1" x14ac:dyDescent="0.25">
      <c r="A41" s="133"/>
      <c r="B41" s="8"/>
      <c r="C41" s="8"/>
      <c r="D41" s="8"/>
      <c r="E41" s="8"/>
      <c r="F41" s="8"/>
      <c r="G41" s="8"/>
      <c r="H41" s="8"/>
      <c r="I41" s="8"/>
      <c r="J41" s="8"/>
      <c r="K41" s="8"/>
      <c r="L41" s="94"/>
      <c r="M41" s="8"/>
      <c r="N41" s="8"/>
      <c r="O41" s="8"/>
      <c r="P41" s="8"/>
      <c r="Q41" s="8"/>
      <c r="R41" s="8"/>
      <c r="S41" s="8"/>
      <c r="T41" s="8"/>
      <c r="U41" s="8"/>
      <c r="V41" s="8"/>
      <c r="W41" s="8"/>
      <c r="X41" s="8"/>
      <c r="Y41" s="8"/>
      <c r="Z41" s="8"/>
    </row>
    <row r="42" spans="1:26" ht="12.75" customHeight="1" x14ac:dyDescent="0.25">
      <c r="A42" s="133"/>
      <c r="B42" s="8"/>
      <c r="C42" s="8"/>
      <c r="D42" s="8"/>
      <c r="E42" s="8"/>
      <c r="F42" s="8"/>
      <c r="G42" s="8"/>
      <c r="H42" s="8"/>
      <c r="I42" s="8"/>
      <c r="J42" s="8"/>
      <c r="K42" s="8"/>
      <c r="L42" s="94"/>
      <c r="M42" s="8"/>
      <c r="N42" s="8"/>
      <c r="O42" s="8"/>
      <c r="P42" s="8"/>
      <c r="Q42" s="8"/>
      <c r="R42" s="8"/>
      <c r="S42" s="8"/>
      <c r="T42" s="8"/>
      <c r="U42" s="8"/>
      <c r="V42" s="8"/>
      <c r="W42" s="8"/>
      <c r="X42" s="8"/>
      <c r="Y42" s="8"/>
      <c r="Z42" s="8"/>
    </row>
    <row r="43" spans="1:26" ht="12.75" customHeight="1" x14ac:dyDescent="0.25">
      <c r="A43" s="133"/>
      <c r="B43" s="8"/>
      <c r="C43" s="8"/>
      <c r="D43" s="8"/>
      <c r="E43" s="8"/>
      <c r="F43" s="8"/>
      <c r="G43" s="8"/>
      <c r="H43" s="8"/>
      <c r="I43" s="8"/>
      <c r="J43" s="8"/>
      <c r="K43" s="8"/>
      <c r="L43" s="94"/>
      <c r="M43" s="8"/>
      <c r="N43" s="8"/>
      <c r="O43" s="8"/>
      <c r="P43" s="8"/>
      <c r="Q43" s="8"/>
      <c r="R43" s="8"/>
      <c r="S43" s="8"/>
      <c r="T43" s="8"/>
      <c r="U43" s="8"/>
      <c r="V43" s="8"/>
      <c r="W43" s="8"/>
      <c r="X43" s="8"/>
      <c r="Y43" s="8"/>
      <c r="Z43" s="8"/>
    </row>
    <row r="44" spans="1:26" ht="12.75" customHeight="1" x14ac:dyDescent="0.25">
      <c r="A44" s="133"/>
      <c r="B44" s="8"/>
      <c r="C44" s="8"/>
      <c r="D44" s="8"/>
      <c r="E44" s="8"/>
      <c r="F44" s="8"/>
      <c r="G44" s="8"/>
      <c r="H44" s="8"/>
      <c r="I44" s="8"/>
      <c r="J44" s="8"/>
      <c r="K44" s="8"/>
      <c r="L44" s="94"/>
      <c r="M44" s="8"/>
      <c r="N44" s="8"/>
      <c r="O44" s="8"/>
      <c r="P44" s="8"/>
      <c r="Q44" s="8"/>
      <c r="R44" s="8"/>
      <c r="S44" s="8"/>
      <c r="T44" s="8"/>
      <c r="U44" s="8"/>
      <c r="V44" s="8"/>
      <c r="W44" s="8"/>
      <c r="X44" s="8"/>
      <c r="Y44" s="8"/>
      <c r="Z44" s="8"/>
    </row>
    <row r="45" spans="1:26" ht="12.75" customHeight="1" x14ac:dyDescent="0.25">
      <c r="A45" s="133"/>
      <c r="B45" s="8"/>
      <c r="C45" s="8"/>
      <c r="D45" s="8"/>
      <c r="E45" s="8"/>
      <c r="F45" s="8"/>
      <c r="G45" s="8"/>
      <c r="H45" s="8"/>
      <c r="I45" s="8"/>
      <c r="J45" s="8"/>
      <c r="K45" s="8"/>
      <c r="L45" s="94"/>
      <c r="M45" s="8"/>
      <c r="N45" s="8"/>
      <c r="O45" s="8"/>
      <c r="P45" s="8"/>
      <c r="Q45" s="8"/>
      <c r="R45" s="8"/>
      <c r="S45" s="8"/>
      <c r="T45" s="8"/>
      <c r="U45" s="8"/>
      <c r="V45" s="8"/>
      <c r="W45" s="8"/>
      <c r="X45" s="8"/>
      <c r="Y45" s="8"/>
      <c r="Z45" s="8"/>
    </row>
    <row r="46" spans="1:26" ht="12.75" customHeight="1" x14ac:dyDescent="0.25">
      <c r="A46" s="133"/>
      <c r="B46" s="8"/>
      <c r="C46" s="8"/>
      <c r="D46" s="8"/>
      <c r="E46" s="8"/>
      <c r="F46" s="8"/>
      <c r="G46" s="8"/>
      <c r="H46" s="8"/>
      <c r="I46" s="8"/>
      <c r="J46" s="8"/>
      <c r="K46" s="8"/>
      <c r="L46" s="94"/>
      <c r="M46" s="8"/>
      <c r="N46" s="8"/>
      <c r="O46" s="8"/>
      <c r="P46" s="8"/>
      <c r="Q46" s="8"/>
      <c r="R46" s="8"/>
      <c r="S46" s="8"/>
      <c r="T46" s="8"/>
      <c r="U46" s="8"/>
      <c r="V46" s="8"/>
      <c r="W46" s="8"/>
      <c r="X46" s="8"/>
      <c r="Y46" s="8"/>
      <c r="Z46" s="8"/>
    </row>
    <row r="47" spans="1:26" ht="12.75" customHeight="1" x14ac:dyDescent="0.25">
      <c r="A47" s="133"/>
      <c r="B47" s="8"/>
      <c r="C47" s="8"/>
      <c r="D47" s="8"/>
      <c r="E47" s="8"/>
      <c r="F47" s="8"/>
      <c r="G47" s="8"/>
      <c r="H47" s="8"/>
      <c r="I47" s="8"/>
      <c r="J47" s="8"/>
      <c r="K47" s="8"/>
      <c r="L47" s="94"/>
      <c r="M47" s="8"/>
      <c r="N47" s="8"/>
      <c r="O47" s="8"/>
      <c r="P47" s="8"/>
      <c r="Q47" s="8"/>
      <c r="R47" s="8"/>
      <c r="S47" s="8"/>
      <c r="T47" s="8"/>
      <c r="U47" s="8"/>
      <c r="V47" s="8"/>
      <c r="W47" s="8"/>
      <c r="X47" s="8"/>
      <c r="Y47" s="8"/>
      <c r="Z47" s="8"/>
    </row>
    <row r="48" spans="1:26" ht="12.75" customHeight="1" x14ac:dyDescent="0.25">
      <c r="A48" s="133"/>
      <c r="B48" s="8"/>
      <c r="C48" s="8"/>
      <c r="D48" s="8"/>
      <c r="E48" s="8"/>
      <c r="F48" s="8"/>
      <c r="G48" s="8"/>
      <c r="H48" s="8"/>
      <c r="I48" s="8"/>
      <c r="J48" s="8"/>
      <c r="K48" s="8"/>
      <c r="L48" s="94"/>
      <c r="M48" s="8"/>
      <c r="N48" s="8"/>
      <c r="O48" s="8"/>
      <c r="P48" s="8"/>
      <c r="Q48" s="8"/>
      <c r="R48" s="8"/>
      <c r="S48" s="8"/>
      <c r="T48" s="8"/>
      <c r="U48" s="8"/>
      <c r="V48" s="8"/>
      <c r="W48" s="8"/>
      <c r="X48" s="8"/>
      <c r="Y48" s="8"/>
      <c r="Z48" s="8"/>
    </row>
    <row r="49" spans="1:26" ht="12.75" customHeight="1" x14ac:dyDescent="0.25">
      <c r="A49" s="133"/>
      <c r="B49" s="8"/>
      <c r="C49" s="8"/>
      <c r="D49" s="8"/>
      <c r="E49" s="8"/>
      <c r="F49" s="8"/>
      <c r="G49" s="8"/>
      <c r="H49" s="8"/>
      <c r="I49" s="8"/>
      <c r="J49" s="8"/>
      <c r="K49" s="8"/>
      <c r="L49" s="94"/>
      <c r="M49" s="8"/>
      <c r="N49" s="8"/>
      <c r="O49" s="8"/>
      <c r="P49" s="8"/>
      <c r="Q49" s="8"/>
      <c r="R49" s="8"/>
      <c r="S49" s="8"/>
      <c r="T49" s="8"/>
      <c r="U49" s="8"/>
      <c r="V49" s="8"/>
      <c r="W49" s="8"/>
      <c r="X49" s="8"/>
      <c r="Y49" s="8"/>
      <c r="Z49" s="8"/>
    </row>
    <row r="50" spans="1:26" ht="12.75" customHeight="1" x14ac:dyDescent="0.25">
      <c r="A50" s="133"/>
      <c r="B50" s="8"/>
      <c r="C50" s="8"/>
      <c r="D50" s="8"/>
      <c r="E50" s="8"/>
      <c r="F50" s="8"/>
      <c r="G50" s="8"/>
      <c r="H50" s="8"/>
      <c r="I50" s="8"/>
      <c r="J50" s="8"/>
      <c r="K50" s="8"/>
      <c r="L50" s="94"/>
      <c r="M50" s="8"/>
      <c r="N50" s="8"/>
      <c r="O50" s="8"/>
      <c r="P50" s="8"/>
      <c r="Q50" s="8"/>
      <c r="R50" s="8"/>
      <c r="S50" s="8"/>
      <c r="T50" s="8"/>
      <c r="U50" s="8"/>
      <c r="V50" s="8"/>
      <c r="W50" s="8"/>
      <c r="X50" s="8"/>
      <c r="Y50" s="8"/>
      <c r="Z50" s="8"/>
    </row>
    <row r="51" spans="1:26" ht="12.75" customHeight="1" x14ac:dyDescent="0.25">
      <c r="A51" s="133"/>
      <c r="B51" s="8"/>
      <c r="C51" s="8"/>
      <c r="D51" s="8"/>
      <c r="E51" s="8"/>
      <c r="F51" s="8"/>
      <c r="G51" s="8"/>
      <c r="H51" s="8"/>
      <c r="I51" s="8"/>
      <c r="J51" s="8"/>
      <c r="K51" s="8"/>
      <c r="L51" s="94"/>
      <c r="M51" s="8"/>
      <c r="N51" s="8"/>
      <c r="O51" s="8"/>
      <c r="P51" s="8"/>
      <c r="Q51" s="8"/>
      <c r="R51" s="8"/>
      <c r="S51" s="8"/>
      <c r="T51" s="8"/>
      <c r="U51" s="8"/>
      <c r="V51" s="8"/>
      <c r="W51" s="8"/>
      <c r="X51" s="8"/>
      <c r="Y51" s="8"/>
      <c r="Z51" s="8"/>
    </row>
    <row r="52" spans="1:26" ht="12.75" customHeight="1" x14ac:dyDescent="0.25">
      <c r="A52" s="133"/>
      <c r="B52" s="8"/>
      <c r="C52" s="8"/>
      <c r="D52" s="8"/>
      <c r="E52" s="8"/>
      <c r="F52" s="8"/>
      <c r="G52" s="8"/>
      <c r="H52" s="8"/>
      <c r="I52" s="8"/>
      <c r="J52" s="8"/>
      <c r="K52" s="8"/>
      <c r="L52" s="94"/>
      <c r="M52" s="8"/>
      <c r="N52" s="8"/>
      <c r="O52" s="8"/>
      <c r="P52" s="8"/>
      <c r="Q52" s="8"/>
      <c r="R52" s="8"/>
      <c r="S52" s="8"/>
      <c r="T52" s="8"/>
      <c r="U52" s="8"/>
      <c r="V52" s="8"/>
      <c r="W52" s="8"/>
      <c r="X52" s="8"/>
      <c r="Y52" s="8"/>
      <c r="Z52" s="8"/>
    </row>
    <row r="53" spans="1:26" ht="12.75" customHeight="1" x14ac:dyDescent="0.25">
      <c r="A53" s="133"/>
      <c r="B53" s="8"/>
      <c r="C53" s="8"/>
      <c r="D53" s="8"/>
      <c r="E53" s="8"/>
      <c r="F53" s="8"/>
      <c r="G53" s="8"/>
      <c r="H53" s="8"/>
      <c r="I53" s="8"/>
      <c r="J53" s="8"/>
      <c r="K53" s="8"/>
      <c r="L53" s="94"/>
      <c r="M53" s="8"/>
      <c r="N53" s="8"/>
      <c r="O53" s="8"/>
      <c r="P53" s="8"/>
      <c r="Q53" s="8"/>
      <c r="R53" s="8"/>
      <c r="S53" s="8"/>
      <c r="T53" s="8"/>
      <c r="U53" s="8"/>
      <c r="V53" s="8"/>
      <c r="W53" s="8"/>
      <c r="X53" s="8"/>
      <c r="Y53" s="8"/>
      <c r="Z53" s="8"/>
    </row>
    <row r="54" spans="1:26" ht="12.75" customHeight="1" x14ac:dyDescent="0.25">
      <c r="A54" s="133"/>
      <c r="B54" s="8"/>
      <c r="C54" s="8"/>
      <c r="D54" s="8"/>
      <c r="E54" s="8"/>
      <c r="F54" s="8"/>
      <c r="G54" s="8"/>
      <c r="H54" s="8"/>
      <c r="I54" s="8"/>
      <c r="J54" s="8"/>
      <c r="K54" s="8"/>
      <c r="L54" s="94"/>
      <c r="M54" s="8"/>
      <c r="N54" s="8"/>
      <c r="O54" s="8"/>
      <c r="P54" s="8"/>
      <c r="Q54" s="8"/>
      <c r="R54" s="8"/>
      <c r="S54" s="8"/>
      <c r="T54" s="8"/>
      <c r="U54" s="8"/>
      <c r="V54" s="8"/>
      <c r="W54" s="8"/>
      <c r="X54" s="8"/>
      <c r="Y54" s="8"/>
      <c r="Z54" s="8"/>
    </row>
    <row r="55" spans="1:26" ht="12.75" customHeight="1" x14ac:dyDescent="0.25">
      <c r="A55" s="133"/>
      <c r="B55" s="8"/>
      <c r="C55" s="8"/>
      <c r="D55" s="8"/>
      <c r="E55" s="8"/>
      <c r="F55" s="8"/>
      <c r="G55" s="8"/>
      <c r="H55" s="8"/>
      <c r="I55" s="8"/>
      <c r="J55" s="8"/>
      <c r="K55" s="8"/>
      <c r="L55" s="94"/>
      <c r="M55" s="8"/>
      <c r="N55" s="8"/>
      <c r="O55" s="8"/>
      <c r="P55" s="8"/>
      <c r="Q55" s="8"/>
      <c r="R55" s="8"/>
      <c r="S55" s="8"/>
      <c r="T55" s="8"/>
      <c r="U55" s="8"/>
      <c r="V55" s="8"/>
      <c r="W55" s="8"/>
      <c r="X55" s="8"/>
      <c r="Y55" s="8"/>
      <c r="Z55" s="8"/>
    </row>
    <row r="56" spans="1:26" ht="12.75" customHeight="1" x14ac:dyDescent="0.25">
      <c r="A56" s="133"/>
      <c r="B56" s="8"/>
      <c r="C56" s="8"/>
      <c r="D56" s="8"/>
      <c r="E56" s="8"/>
      <c r="F56" s="8"/>
      <c r="G56" s="8"/>
      <c r="H56" s="8"/>
      <c r="I56" s="8"/>
      <c r="J56" s="8"/>
      <c r="K56" s="8"/>
      <c r="L56" s="94"/>
      <c r="M56" s="8"/>
      <c r="N56" s="8"/>
      <c r="O56" s="8"/>
      <c r="P56" s="8"/>
      <c r="Q56" s="8"/>
      <c r="R56" s="8"/>
      <c r="S56" s="8"/>
      <c r="T56" s="8"/>
      <c r="U56" s="8"/>
      <c r="V56" s="8"/>
      <c r="W56" s="8"/>
      <c r="X56" s="8"/>
      <c r="Y56" s="8"/>
      <c r="Z56" s="8"/>
    </row>
    <row r="57" spans="1:26" ht="12.75" customHeight="1" x14ac:dyDescent="0.25">
      <c r="A57" s="133"/>
      <c r="B57" s="8"/>
      <c r="C57" s="8"/>
      <c r="D57" s="8"/>
      <c r="E57" s="8"/>
      <c r="F57" s="8"/>
      <c r="G57" s="8"/>
      <c r="H57" s="8"/>
      <c r="I57" s="8"/>
      <c r="J57" s="8"/>
      <c r="K57" s="8"/>
      <c r="L57" s="94"/>
      <c r="M57" s="8"/>
      <c r="N57" s="8"/>
      <c r="O57" s="8"/>
      <c r="P57" s="8"/>
      <c r="Q57" s="8"/>
      <c r="R57" s="8"/>
      <c r="S57" s="8"/>
      <c r="T57" s="8"/>
      <c r="U57" s="8"/>
      <c r="V57" s="8"/>
      <c r="W57" s="8"/>
      <c r="X57" s="8"/>
      <c r="Y57" s="8"/>
      <c r="Z57" s="8"/>
    </row>
    <row r="58" spans="1:26" ht="12.75" customHeight="1" x14ac:dyDescent="0.25">
      <c r="A58" s="133"/>
      <c r="B58" s="8"/>
      <c r="C58" s="8"/>
      <c r="D58" s="8"/>
      <c r="E58" s="8"/>
      <c r="F58" s="8"/>
      <c r="G58" s="8"/>
      <c r="H58" s="8"/>
      <c r="I58" s="8"/>
      <c r="J58" s="8"/>
      <c r="K58" s="8"/>
      <c r="L58" s="94"/>
      <c r="M58" s="8"/>
      <c r="N58" s="8"/>
      <c r="O58" s="8"/>
      <c r="P58" s="8"/>
      <c r="Q58" s="8"/>
      <c r="R58" s="8"/>
      <c r="S58" s="8"/>
      <c r="T58" s="8"/>
      <c r="U58" s="8"/>
      <c r="V58" s="8"/>
      <c r="W58" s="8"/>
      <c r="X58" s="8"/>
      <c r="Y58" s="8"/>
      <c r="Z58" s="8"/>
    </row>
    <row r="59" spans="1:26" ht="12.75" customHeight="1" x14ac:dyDescent="0.25">
      <c r="A59" s="133"/>
      <c r="B59" s="8"/>
      <c r="C59" s="8"/>
      <c r="D59" s="8"/>
      <c r="E59" s="8"/>
      <c r="F59" s="8"/>
      <c r="G59" s="8"/>
      <c r="H59" s="8"/>
      <c r="I59" s="8"/>
      <c r="J59" s="8"/>
      <c r="K59" s="8"/>
      <c r="L59" s="94"/>
      <c r="M59" s="8"/>
      <c r="N59" s="8"/>
      <c r="O59" s="8"/>
      <c r="P59" s="8"/>
      <c r="Q59" s="8"/>
      <c r="R59" s="8"/>
      <c r="S59" s="8"/>
      <c r="T59" s="8"/>
      <c r="U59" s="8"/>
      <c r="V59" s="8"/>
      <c r="W59" s="8"/>
      <c r="X59" s="8"/>
      <c r="Y59" s="8"/>
      <c r="Z59" s="8"/>
    </row>
    <row r="60" spans="1:26" ht="12.75" customHeight="1" x14ac:dyDescent="0.25">
      <c r="A60" s="133"/>
      <c r="B60" s="8"/>
      <c r="C60" s="8"/>
      <c r="D60" s="8"/>
      <c r="E60" s="8"/>
      <c r="F60" s="8"/>
      <c r="G60" s="8"/>
      <c r="H60" s="8"/>
      <c r="I60" s="8"/>
      <c r="J60" s="8"/>
      <c r="K60" s="8"/>
      <c r="L60" s="94"/>
      <c r="M60" s="8"/>
      <c r="N60" s="8"/>
      <c r="O60" s="8"/>
      <c r="P60" s="8"/>
      <c r="Q60" s="8"/>
      <c r="R60" s="8"/>
      <c r="S60" s="8"/>
      <c r="T60" s="8"/>
      <c r="U60" s="8"/>
      <c r="V60" s="8"/>
      <c r="W60" s="8"/>
      <c r="X60" s="8"/>
      <c r="Y60" s="8"/>
      <c r="Z60" s="8"/>
    </row>
    <row r="61" spans="1:26" ht="12.75" customHeight="1" x14ac:dyDescent="0.25">
      <c r="A61" s="133"/>
      <c r="B61" s="8"/>
      <c r="C61" s="8"/>
      <c r="D61" s="8"/>
      <c r="E61" s="8"/>
      <c r="F61" s="8"/>
      <c r="G61" s="8"/>
      <c r="H61" s="8"/>
      <c r="I61" s="8"/>
      <c r="J61" s="8"/>
      <c r="K61" s="8"/>
      <c r="L61" s="94"/>
      <c r="M61" s="8"/>
      <c r="N61" s="8"/>
      <c r="O61" s="8"/>
      <c r="P61" s="8"/>
      <c r="Q61" s="8"/>
      <c r="R61" s="8"/>
      <c r="S61" s="8"/>
      <c r="T61" s="8"/>
      <c r="U61" s="8"/>
      <c r="V61" s="8"/>
      <c r="W61" s="8"/>
      <c r="X61" s="8"/>
      <c r="Y61" s="8"/>
      <c r="Z61" s="8"/>
    </row>
    <row r="62" spans="1:26" ht="12.75" customHeight="1" x14ac:dyDescent="0.25">
      <c r="A62" s="133"/>
      <c r="B62" s="8"/>
      <c r="C62" s="8"/>
      <c r="D62" s="8"/>
      <c r="E62" s="8"/>
      <c r="F62" s="8"/>
      <c r="G62" s="8"/>
      <c r="H62" s="8"/>
      <c r="I62" s="8"/>
      <c r="J62" s="8"/>
      <c r="K62" s="8"/>
      <c r="L62" s="94"/>
      <c r="M62" s="8"/>
      <c r="N62" s="8"/>
      <c r="O62" s="8"/>
      <c r="P62" s="8"/>
      <c r="Q62" s="8"/>
      <c r="R62" s="8"/>
      <c r="S62" s="8"/>
      <c r="T62" s="8"/>
      <c r="U62" s="8"/>
      <c r="V62" s="8"/>
      <c r="W62" s="8"/>
      <c r="X62" s="8"/>
      <c r="Y62" s="8"/>
      <c r="Z62" s="8"/>
    </row>
    <row r="63" spans="1:26" ht="12.75" customHeight="1" x14ac:dyDescent="0.25">
      <c r="A63" s="133"/>
      <c r="B63" s="8"/>
      <c r="C63" s="8"/>
      <c r="D63" s="8"/>
      <c r="E63" s="8"/>
      <c r="F63" s="8"/>
      <c r="G63" s="8"/>
      <c r="H63" s="8"/>
      <c r="I63" s="8"/>
      <c r="J63" s="8"/>
      <c r="K63" s="8"/>
      <c r="L63" s="94"/>
      <c r="M63" s="8"/>
      <c r="N63" s="8"/>
      <c r="O63" s="8"/>
      <c r="P63" s="8"/>
      <c r="Q63" s="8"/>
      <c r="R63" s="8"/>
      <c r="S63" s="8"/>
      <c r="T63" s="8"/>
      <c r="U63" s="8"/>
      <c r="V63" s="8"/>
      <c r="W63" s="8"/>
      <c r="X63" s="8"/>
      <c r="Y63" s="8"/>
      <c r="Z63" s="8"/>
    </row>
    <row r="64" spans="1:26" ht="12.75" customHeight="1" x14ac:dyDescent="0.25">
      <c r="A64" s="133"/>
      <c r="B64" s="8"/>
      <c r="C64" s="8"/>
      <c r="D64" s="8"/>
      <c r="E64" s="8"/>
      <c r="F64" s="8"/>
      <c r="G64" s="8"/>
      <c r="H64" s="8"/>
      <c r="I64" s="8"/>
      <c r="J64" s="8"/>
      <c r="K64" s="8"/>
      <c r="L64" s="94"/>
      <c r="M64" s="8"/>
      <c r="N64" s="8"/>
      <c r="O64" s="8"/>
      <c r="P64" s="8"/>
      <c r="Q64" s="8"/>
      <c r="R64" s="8"/>
      <c r="S64" s="8"/>
      <c r="T64" s="8"/>
      <c r="U64" s="8"/>
      <c r="V64" s="8"/>
      <c r="W64" s="8"/>
      <c r="X64" s="8"/>
      <c r="Y64" s="8"/>
      <c r="Z64" s="8"/>
    </row>
    <row r="65" spans="1:26" ht="12.75" customHeight="1" x14ac:dyDescent="0.25">
      <c r="A65" s="133"/>
      <c r="B65" s="8"/>
      <c r="C65" s="8"/>
      <c r="D65" s="8"/>
      <c r="E65" s="8"/>
      <c r="F65" s="8"/>
      <c r="G65" s="8"/>
      <c r="H65" s="8"/>
      <c r="I65" s="8"/>
      <c r="J65" s="8"/>
      <c r="K65" s="8"/>
      <c r="L65" s="94"/>
      <c r="M65" s="8"/>
      <c r="N65" s="8"/>
      <c r="O65" s="8"/>
      <c r="P65" s="8"/>
      <c r="Q65" s="8"/>
      <c r="R65" s="8"/>
      <c r="S65" s="8"/>
      <c r="T65" s="8"/>
      <c r="U65" s="8"/>
      <c r="V65" s="8"/>
      <c r="W65" s="8"/>
      <c r="X65" s="8"/>
      <c r="Y65" s="8"/>
      <c r="Z65" s="8"/>
    </row>
    <row r="66" spans="1:26" ht="12.75" customHeight="1" x14ac:dyDescent="0.25">
      <c r="A66" s="133"/>
      <c r="B66" s="8"/>
      <c r="C66" s="8"/>
      <c r="D66" s="8"/>
      <c r="E66" s="8"/>
      <c r="F66" s="8"/>
      <c r="G66" s="8"/>
      <c r="H66" s="8"/>
      <c r="I66" s="8"/>
      <c r="J66" s="8"/>
      <c r="K66" s="8"/>
      <c r="L66" s="94"/>
      <c r="M66" s="8"/>
      <c r="N66" s="8"/>
      <c r="O66" s="8"/>
      <c r="P66" s="8"/>
      <c r="Q66" s="8"/>
      <c r="R66" s="8"/>
      <c r="S66" s="8"/>
      <c r="T66" s="8"/>
      <c r="U66" s="8"/>
      <c r="V66" s="8"/>
      <c r="W66" s="8"/>
      <c r="X66" s="8"/>
      <c r="Y66" s="8"/>
      <c r="Z66" s="8"/>
    </row>
    <row r="67" spans="1:26" ht="12.75" customHeight="1" x14ac:dyDescent="0.25">
      <c r="A67" s="133"/>
      <c r="B67" s="8"/>
      <c r="C67" s="8"/>
      <c r="D67" s="8"/>
      <c r="E67" s="8"/>
      <c r="F67" s="8"/>
      <c r="G67" s="8"/>
      <c r="H67" s="8"/>
      <c r="I67" s="8"/>
      <c r="J67" s="8"/>
      <c r="K67" s="8"/>
      <c r="L67" s="94"/>
      <c r="M67" s="8"/>
      <c r="N67" s="8"/>
      <c r="O67" s="8"/>
      <c r="P67" s="8"/>
      <c r="Q67" s="8"/>
      <c r="R67" s="8"/>
      <c r="S67" s="8"/>
      <c r="T67" s="8"/>
      <c r="U67" s="8"/>
      <c r="V67" s="8"/>
      <c r="W67" s="8"/>
      <c r="X67" s="8"/>
      <c r="Y67" s="8"/>
      <c r="Z67" s="8"/>
    </row>
    <row r="68" spans="1:26" ht="12.75" customHeight="1" x14ac:dyDescent="0.25">
      <c r="A68" s="133"/>
      <c r="B68" s="8"/>
      <c r="C68" s="8"/>
      <c r="D68" s="8"/>
      <c r="E68" s="8"/>
      <c r="F68" s="8"/>
      <c r="G68" s="8"/>
      <c r="H68" s="8"/>
      <c r="I68" s="8"/>
      <c r="J68" s="8"/>
      <c r="K68" s="8"/>
      <c r="L68" s="94"/>
      <c r="M68" s="8"/>
      <c r="N68" s="8"/>
      <c r="O68" s="8"/>
      <c r="P68" s="8"/>
      <c r="Q68" s="8"/>
      <c r="R68" s="8"/>
      <c r="S68" s="8"/>
      <c r="T68" s="8"/>
      <c r="U68" s="8"/>
      <c r="V68" s="8"/>
      <c r="W68" s="8"/>
      <c r="X68" s="8"/>
      <c r="Y68" s="8"/>
      <c r="Z68" s="8"/>
    </row>
    <row r="69" spans="1:26" ht="12.75" customHeight="1" x14ac:dyDescent="0.25">
      <c r="A69" s="133"/>
      <c r="B69" s="8"/>
      <c r="C69" s="8"/>
      <c r="D69" s="8"/>
      <c r="E69" s="8"/>
      <c r="F69" s="8"/>
      <c r="G69" s="8"/>
      <c r="H69" s="8"/>
      <c r="I69" s="8"/>
      <c r="J69" s="8"/>
      <c r="K69" s="8"/>
      <c r="L69" s="94"/>
      <c r="M69" s="8"/>
      <c r="N69" s="8"/>
      <c r="O69" s="8"/>
      <c r="P69" s="8"/>
      <c r="Q69" s="8"/>
      <c r="R69" s="8"/>
      <c r="S69" s="8"/>
      <c r="T69" s="8"/>
      <c r="U69" s="8"/>
      <c r="V69" s="8"/>
      <c r="W69" s="8"/>
      <c r="X69" s="8"/>
      <c r="Y69" s="8"/>
      <c r="Z69" s="8"/>
    </row>
    <row r="70" spans="1:26" ht="12.75" customHeight="1" x14ac:dyDescent="0.25">
      <c r="A70" s="133"/>
      <c r="B70" s="8"/>
      <c r="C70" s="8"/>
      <c r="D70" s="8"/>
      <c r="E70" s="8"/>
      <c r="F70" s="8"/>
      <c r="G70" s="8"/>
      <c r="H70" s="8"/>
      <c r="I70" s="8"/>
      <c r="J70" s="8"/>
      <c r="K70" s="8"/>
      <c r="L70" s="94"/>
      <c r="M70" s="8"/>
      <c r="N70" s="8"/>
      <c r="O70" s="8"/>
      <c r="P70" s="8"/>
      <c r="Q70" s="8"/>
      <c r="R70" s="8"/>
      <c r="S70" s="8"/>
      <c r="T70" s="8"/>
      <c r="U70" s="8"/>
      <c r="V70" s="8"/>
      <c r="W70" s="8"/>
      <c r="X70" s="8"/>
      <c r="Y70" s="8"/>
      <c r="Z70" s="8"/>
    </row>
    <row r="71" spans="1:26" ht="12.75" customHeight="1" x14ac:dyDescent="0.25">
      <c r="A71" s="133"/>
      <c r="B71" s="8"/>
      <c r="C71" s="8"/>
      <c r="D71" s="8"/>
      <c r="E71" s="8"/>
      <c r="F71" s="8"/>
      <c r="G71" s="8"/>
      <c r="H71" s="8"/>
      <c r="I71" s="8"/>
      <c r="J71" s="8"/>
      <c r="K71" s="8"/>
      <c r="L71" s="94"/>
      <c r="M71" s="8"/>
      <c r="N71" s="8"/>
      <c r="O71" s="8"/>
      <c r="P71" s="8"/>
      <c r="Q71" s="8"/>
      <c r="R71" s="8"/>
      <c r="S71" s="8"/>
      <c r="T71" s="8"/>
      <c r="U71" s="8"/>
      <c r="V71" s="8"/>
      <c r="W71" s="8"/>
      <c r="X71" s="8"/>
      <c r="Y71" s="8"/>
      <c r="Z71" s="8"/>
    </row>
    <row r="72" spans="1:26" ht="12.75" customHeight="1" x14ac:dyDescent="0.25">
      <c r="A72" s="133"/>
      <c r="B72" s="8"/>
      <c r="C72" s="8"/>
      <c r="D72" s="8"/>
      <c r="E72" s="8"/>
      <c r="F72" s="8"/>
      <c r="G72" s="8"/>
      <c r="H72" s="8"/>
      <c r="I72" s="8"/>
      <c r="J72" s="8"/>
      <c r="K72" s="8"/>
      <c r="L72" s="94"/>
      <c r="M72" s="8"/>
      <c r="N72" s="8"/>
      <c r="O72" s="8"/>
      <c r="P72" s="8"/>
      <c r="Q72" s="8"/>
      <c r="R72" s="8"/>
      <c r="S72" s="8"/>
      <c r="T72" s="8"/>
      <c r="U72" s="8"/>
      <c r="V72" s="8"/>
      <c r="W72" s="8"/>
      <c r="X72" s="8"/>
      <c r="Y72" s="8"/>
      <c r="Z72" s="8"/>
    </row>
    <row r="73" spans="1:26" ht="12.75" customHeight="1" x14ac:dyDescent="0.25">
      <c r="A73" s="133"/>
      <c r="B73" s="8"/>
      <c r="C73" s="8"/>
      <c r="D73" s="8"/>
      <c r="E73" s="8"/>
      <c r="F73" s="8"/>
      <c r="G73" s="8"/>
      <c r="H73" s="8"/>
      <c r="I73" s="8"/>
      <c r="J73" s="8"/>
      <c r="K73" s="8"/>
      <c r="L73" s="94"/>
      <c r="M73" s="8"/>
      <c r="N73" s="8"/>
      <c r="O73" s="8"/>
      <c r="P73" s="8"/>
      <c r="Q73" s="8"/>
      <c r="R73" s="8"/>
      <c r="S73" s="8"/>
      <c r="T73" s="8"/>
      <c r="U73" s="8"/>
      <c r="V73" s="8"/>
      <c r="W73" s="8"/>
      <c r="X73" s="8"/>
      <c r="Y73" s="8"/>
      <c r="Z73" s="8"/>
    </row>
    <row r="74" spans="1:26" ht="12.75" customHeight="1" x14ac:dyDescent="0.25">
      <c r="A74" s="133"/>
      <c r="B74" s="8"/>
      <c r="C74" s="8"/>
      <c r="D74" s="8"/>
      <c r="E74" s="8"/>
      <c r="F74" s="8"/>
      <c r="G74" s="8"/>
      <c r="H74" s="8"/>
      <c r="I74" s="8"/>
      <c r="J74" s="8"/>
      <c r="K74" s="8"/>
      <c r="L74" s="94"/>
      <c r="M74" s="8"/>
      <c r="N74" s="8"/>
      <c r="O74" s="8"/>
      <c r="P74" s="8"/>
      <c r="Q74" s="8"/>
      <c r="R74" s="8"/>
      <c r="S74" s="8"/>
      <c r="T74" s="8"/>
      <c r="U74" s="8"/>
      <c r="V74" s="8"/>
      <c r="W74" s="8"/>
      <c r="X74" s="8"/>
      <c r="Y74" s="8"/>
      <c r="Z74" s="8"/>
    </row>
    <row r="75" spans="1:26" ht="12.75" customHeight="1" x14ac:dyDescent="0.25">
      <c r="A75" s="133"/>
      <c r="B75" s="8"/>
      <c r="C75" s="8"/>
      <c r="D75" s="8"/>
      <c r="E75" s="8"/>
      <c r="F75" s="8"/>
      <c r="G75" s="8"/>
      <c r="H75" s="8"/>
      <c r="I75" s="8"/>
      <c r="J75" s="8"/>
      <c r="K75" s="8"/>
      <c r="L75" s="94"/>
      <c r="M75" s="8"/>
      <c r="N75" s="8"/>
      <c r="O75" s="8"/>
      <c r="P75" s="8"/>
      <c r="Q75" s="8"/>
      <c r="R75" s="8"/>
      <c r="S75" s="8"/>
      <c r="T75" s="8"/>
      <c r="U75" s="8"/>
      <c r="V75" s="8"/>
      <c r="W75" s="8"/>
      <c r="X75" s="8"/>
      <c r="Y75" s="8"/>
      <c r="Z75" s="8"/>
    </row>
    <row r="76" spans="1:26" ht="12.75" customHeight="1" x14ac:dyDescent="0.25">
      <c r="A76" s="133"/>
      <c r="B76" s="8"/>
      <c r="C76" s="8"/>
      <c r="D76" s="8"/>
      <c r="E76" s="8"/>
      <c r="F76" s="8"/>
      <c r="G76" s="8"/>
      <c r="H76" s="8"/>
      <c r="I76" s="8"/>
      <c r="J76" s="8"/>
      <c r="K76" s="8"/>
      <c r="L76" s="94"/>
      <c r="M76" s="8"/>
      <c r="N76" s="8"/>
      <c r="O76" s="8"/>
      <c r="P76" s="8"/>
      <c r="Q76" s="8"/>
      <c r="R76" s="8"/>
      <c r="S76" s="8"/>
      <c r="T76" s="8"/>
      <c r="U76" s="8"/>
      <c r="V76" s="8"/>
      <c r="W76" s="8"/>
      <c r="X76" s="8"/>
      <c r="Y76" s="8"/>
      <c r="Z76" s="8"/>
    </row>
    <row r="77" spans="1:26" ht="12.75" customHeight="1" x14ac:dyDescent="0.25">
      <c r="A77" s="133"/>
      <c r="B77" s="8"/>
      <c r="C77" s="8"/>
      <c r="D77" s="8"/>
      <c r="E77" s="8"/>
      <c r="F77" s="8"/>
      <c r="G77" s="8"/>
      <c r="H77" s="8"/>
      <c r="I77" s="8"/>
      <c r="J77" s="8"/>
      <c r="K77" s="8"/>
      <c r="L77" s="94"/>
      <c r="M77" s="8"/>
      <c r="N77" s="8"/>
      <c r="O77" s="8"/>
      <c r="P77" s="8"/>
      <c r="Q77" s="8"/>
      <c r="R77" s="8"/>
      <c r="S77" s="8"/>
      <c r="T77" s="8"/>
      <c r="U77" s="8"/>
      <c r="V77" s="8"/>
      <c r="W77" s="8"/>
      <c r="X77" s="8"/>
      <c r="Y77" s="8"/>
      <c r="Z77" s="8"/>
    </row>
    <row r="78" spans="1:26" ht="12.75" customHeight="1" x14ac:dyDescent="0.25">
      <c r="A78" s="133"/>
      <c r="B78" s="8"/>
      <c r="C78" s="8"/>
      <c r="D78" s="8"/>
      <c r="E78" s="8"/>
      <c r="F78" s="8"/>
      <c r="G78" s="8"/>
      <c r="H78" s="8"/>
      <c r="I78" s="8"/>
      <c r="J78" s="8"/>
      <c r="K78" s="8"/>
      <c r="L78" s="94"/>
      <c r="M78" s="8"/>
      <c r="N78" s="8"/>
      <c r="O78" s="8"/>
      <c r="P78" s="8"/>
      <c r="Q78" s="8"/>
      <c r="R78" s="8"/>
      <c r="S78" s="8"/>
      <c r="T78" s="8"/>
      <c r="U78" s="8"/>
      <c r="V78" s="8"/>
      <c r="W78" s="8"/>
      <c r="X78" s="8"/>
      <c r="Y78" s="8"/>
      <c r="Z78" s="8"/>
    </row>
    <row r="79" spans="1:26" ht="12.75" customHeight="1" x14ac:dyDescent="0.25">
      <c r="A79" s="133"/>
      <c r="B79" s="8"/>
      <c r="C79" s="8"/>
      <c r="D79" s="8"/>
      <c r="E79" s="8"/>
      <c r="F79" s="8"/>
      <c r="G79" s="8"/>
      <c r="H79" s="8"/>
      <c r="I79" s="8"/>
      <c r="J79" s="8"/>
      <c r="K79" s="8"/>
      <c r="L79" s="94"/>
      <c r="M79" s="8"/>
      <c r="N79" s="8"/>
      <c r="O79" s="8"/>
      <c r="P79" s="8"/>
      <c r="Q79" s="8"/>
      <c r="R79" s="8"/>
      <c r="S79" s="8"/>
      <c r="T79" s="8"/>
      <c r="U79" s="8"/>
      <c r="V79" s="8"/>
      <c r="W79" s="8"/>
      <c r="X79" s="8"/>
      <c r="Y79" s="8"/>
      <c r="Z79" s="8"/>
    </row>
    <row r="80" spans="1:26" ht="12.75" customHeight="1" x14ac:dyDescent="0.25">
      <c r="A80" s="133"/>
      <c r="B80" s="8"/>
      <c r="C80" s="8"/>
      <c r="D80" s="8"/>
      <c r="E80" s="8"/>
      <c r="F80" s="8"/>
      <c r="G80" s="8"/>
      <c r="H80" s="8"/>
      <c r="I80" s="8"/>
      <c r="J80" s="8"/>
      <c r="K80" s="8"/>
      <c r="L80" s="94"/>
      <c r="M80" s="8"/>
      <c r="N80" s="8"/>
      <c r="O80" s="8"/>
      <c r="P80" s="8"/>
      <c r="Q80" s="8"/>
      <c r="R80" s="8"/>
      <c r="S80" s="8"/>
      <c r="T80" s="8"/>
      <c r="U80" s="8"/>
      <c r="V80" s="8"/>
      <c r="W80" s="8"/>
      <c r="X80" s="8"/>
      <c r="Y80" s="8"/>
      <c r="Z80" s="8"/>
    </row>
    <row r="81" spans="1:26" ht="12.75" customHeight="1" x14ac:dyDescent="0.25">
      <c r="A81" s="133"/>
      <c r="B81" s="8"/>
      <c r="C81" s="8"/>
      <c r="D81" s="8"/>
      <c r="E81" s="8"/>
      <c r="F81" s="8"/>
      <c r="G81" s="8"/>
      <c r="H81" s="8"/>
      <c r="I81" s="8"/>
      <c r="J81" s="8"/>
      <c r="K81" s="8"/>
      <c r="L81" s="94"/>
      <c r="M81" s="8"/>
      <c r="N81" s="8"/>
      <c r="O81" s="8"/>
      <c r="P81" s="8"/>
      <c r="Q81" s="8"/>
      <c r="R81" s="8"/>
      <c r="S81" s="8"/>
      <c r="T81" s="8"/>
      <c r="U81" s="8"/>
      <c r="V81" s="8"/>
      <c r="W81" s="8"/>
      <c r="X81" s="8"/>
      <c r="Y81" s="8"/>
      <c r="Z81" s="8"/>
    </row>
    <row r="82" spans="1:26" ht="12.75" customHeight="1" x14ac:dyDescent="0.25">
      <c r="A82" s="133"/>
      <c r="B82" s="8"/>
      <c r="C82" s="8"/>
      <c r="D82" s="8"/>
      <c r="E82" s="8"/>
      <c r="F82" s="8"/>
      <c r="G82" s="8"/>
      <c r="H82" s="8"/>
      <c r="I82" s="8"/>
      <c r="J82" s="8"/>
      <c r="K82" s="8"/>
      <c r="L82" s="94"/>
      <c r="M82" s="8"/>
      <c r="N82" s="8"/>
      <c r="O82" s="8"/>
      <c r="P82" s="8"/>
      <c r="Q82" s="8"/>
      <c r="R82" s="8"/>
      <c r="S82" s="8"/>
      <c r="T82" s="8"/>
      <c r="U82" s="8"/>
      <c r="V82" s="8"/>
      <c r="W82" s="8"/>
      <c r="X82" s="8"/>
      <c r="Y82" s="8"/>
      <c r="Z82" s="8"/>
    </row>
    <row r="83" spans="1:26" ht="12.75" customHeight="1" x14ac:dyDescent="0.25">
      <c r="A83" s="133"/>
      <c r="B83" s="8"/>
      <c r="C83" s="8"/>
      <c r="D83" s="8"/>
      <c r="E83" s="8"/>
      <c r="F83" s="8"/>
      <c r="G83" s="8"/>
      <c r="H83" s="8"/>
      <c r="I83" s="8"/>
      <c r="J83" s="8"/>
      <c r="K83" s="8"/>
      <c r="L83" s="94"/>
      <c r="M83" s="8"/>
      <c r="N83" s="8"/>
      <c r="O83" s="8"/>
      <c r="P83" s="8"/>
      <c r="Q83" s="8"/>
      <c r="R83" s="8"/>
      <c r="S83" s="8"/>
      <c r="T83" s="8"/>
      <c r="U83" s="8"/>
      <c r="V83" s="8"/>
      <c r="W83" s="8"/>
      <c r="X83" s="8"/>
      <c r="Y83" s="8"/>
      <c r="Z83" s="8"/>
    </row>
    <row r="84" spans="1:26" ht="12.75" customHeight="1" x14ac:dyDescent="0.25">
      <c r="A84" s="133"/>
      <c r="B84" s="8"/>
      <c r="C84" s="8"/>
      <c r="D84" s="8"/>
      <c r="E84" s="8"/>
      <c r="F84" s="8"/>
      <c r="G84" s="8"/>
      <c r="H84" s="8"/>
      <c r="I84" s="8"/>
      <c r="J84" s="8"/>
      <c r="K84" s="8"/>
      <c r="L84" s="94"/>
      <c r="M84" s="8"/>
      <c r="N84" s="8"/>
      <c r="O84" s="8"/>
      <c r="P84" s="8"/>
      <c r="Q84" s="8"/>
      <c r="R84" s="8"/>
      <c r="S84" s="8"/>
      <c r="T84" s="8"/>
      <c r="U84" s="8"/>
      <c r="V84" s="8"/>
      <c r="W84" s="8"/>
      <c r="X84" s="8"/>
      <c r="Y84" s="8"/>
      <c r="Z84" s="8"/>
    </row>
    <row r="85" spans="1:26" ht="12.75" customHeight="1" x14ac:dyDescent="0.25">
      <c r="A85" s="133"/>
      <c r="B85" s="8"/>
      <c r="C85" s="8"/>
      <c r="D85" s="8"/>
      <c r="E85" s="8"/>
      <c r="F85" s="8"/>
      <c r="G85" s="8"/>
      <c r="H85" s="8"/>
      <c r="I85" s="8"/>
      <c r="J85" s="8"/>
      <c r="K85" s="8"/>
      <c r="L85" s="94"/>
      <c r="M85" s="8"/>
      <c r="N85" s="8"/>
      <c r="O85" s="8"/>
      <c r="P85" s="8"/>
      <c r="Q85" s="8"/>
      <c r="R85" s="8"/>
      <c r="S85" s="8"/>
      <c r="T85" s="8"/>
      <c r="U85" s="8"/>
      <c r="V85" s="8"/>
      <c r="W85" s="8"/>
      <c r="X85" s="8"/>
      <c r="Y85" s="8"/>
      <c r="Z85" s="8"/>
    </row>
    <row r="86" spans="1:26" ht="12.75" customHeight="1" x14ac:dyDescent="0.25">
      <c r="A86" s="133"/>
      <c r="B86" s="8"/>
      <c r="C86" s="8"/>
      <c r="D86" s="8"/>
      <c r="E86" s="8"/>
      <c r="F86" s="8"/>
      <c r="G86" s="8"/>
      <c r="H86" s="8"/>
      <c r="I86" s="8"/>
      <c r="J86" s="8"/>
      <c r="K86" s="8"/>
      <c r="L86" s="94"/>
      <c r="M86" s="8"/>
      <c r="N86" s="8"/>
      <c r="O86" s="8"/>
      <c r="P86" s="8"/>
      <c r="Q86" s="8"/>
      <c r="R86" s="8"/>
      <c r="S86" s="8"/>
      <c r="T86" s="8"/>
      <c r="U86" s="8"/>
      <c r="V86" s="8"/>
      <c r="W86" s="8"/>
      <c r="X86" s="8"/>
      <c r="Y86" s="8"/>
      <c r="Z86" s="8"/>
    </row>
    <row r="87" spans="1:26" ht="12.75" customHeight="1" x14ac:dyDescent="0.25">
      <c r="A87" s="133"/>
      <c r="B87" s="8"/>
      <c r="C87" s="8"/>
      <c r="D87" s="8"/>
      <c r="E87" s="8"/>
      <c r="F87" s="8"/>
      <c r="G87" s="8"/>
      <c r="H87" s="8"/>
      <c r="I87" s="8"/>
      <c r="J87" s="8"/>
      <c r="K87" s="8"/>
      <c r="L87" s="94"/>
      <c r="M87" s="8"/>
      <c r="N87" s="8"/>
      <c r="O87" s="8"/>
      <c r="P87" s="8"/>
      <c r="Q87" s="8"/>
      <c r="R87" s="8"/>
      <c r="S87" s="8"/>
      <c r="T87" s="8"/>
      <c r="U87" s="8"/>
      <c r="V87" s="8"/>
      <c r="W87" s="8"/>
      <c r="X87" s="8"/>
      <c r="Y87" s="8"/>
      <c r="Z87" s="8"/>
    </row>
    <row r="88" spans="1:26" ht="12.75" customHeight="1" x14ac:dyDescent="0.25">
      <c r="A88" s="133"/>
      <c r="B88" s="8"/>
      <c r="C88" s="8"/>
      <c r="D88" s="8"/>
      <c r="E88" s="8"/>
      <c r="F88" s="8"/>
      <c r="G88" s="8"/>
      <c r="H88" s="8"/>
      <c r="I88" s="8"/>
      <c r="J88" s="8"/>
      <c r="K88" s="8"/>
      <c r="L88" s="94"/>
      <c r="M88" s="8"/>
      <c r="N88" s="8"/>
      <c r="O88" s="8"/>
      <c r="P88" s="8"/>
      <c r="Q88" s="8"/>
      <c r="R88" s="8"/>
      <c r="S88" s="8"/>
      <c r="T88" s="8"/>
      <c r="U88" s="8"/>
      <c r="V88" s="8"/>
      <c r="W88" s="8"/>
      <c r="X88" s="8"/>
      <c r="Y88" s="8"/>
      <c r="Z88" s="8"/>
    </row>
    <row r="89" spans="1:26" ht="12.75" customHeight="1" x14ac:dyDescent="0.25">
      <c r="A89" s="133"/>
      <c r="B89" s="8"/>
      <c r="C89" s="8"/>
      <c r="D89" s="8"/>
      <c r="E89" s="8"/>
      <c r="F89" s="8"/>
      <c r="G89" s="8"/>
      <c r="H89" s="8"/>
      <c r="I89" s="8"/>
      <c r="J89" s="8"/>
      <c r="K89" s="8"/>
      <c r="L89" s="94"/>
      <c r="M89" s="8"/>
      <c r="N89" s="8"/>
      <c r="O89" s="8"/>
      <c r="P89" s="8"/>
      <c r="Q89" s="8"/>
      <c r="R89" s="8"/>
      <c r="S89" s="8"/>
      <c r="T89" s="8"/>
      <c r="U89" s="8"/>
      <c r="V89" s="8"/>
      <c r="W89" s="8"/>
      <c r="X89" s="8"/>
      <c r="Y89" s="8"/>
      <c r="Z89" s="8"/>
    </row>
    <row r="90" spans="1:26" ht="12.75" customHeight="1" x14ac:dyDescent="0.25">
      <c r="A90" s="133"/>
      <c r="B90" s="8"/>
      <c r="C90" s="8"/>
      <c r="D90" s="8"/>
      <c r="E90" s="8"/>
      <c r="F90" s="8"/>
      <c r="G90" s="8"/>
      <c r="H90" s="8"/>
      <c r="I90" s="8"/>
      <c r="J90" s="8"/>
      <c r="K90" s="8"/>
      <c r="L90" s="94"/>
      <c r="M90" s="8"/>
      <c r="N90" s="8"/>
      <c r="O90" s="8"/>
      <c r="P90" s="8"/>
      <c r="Q90" s="8"/>
      <c r="R90" s="8"/>
      <c r="S90" s="8"/>
      <c r="T90" s="8"/>
      <c r="U90" s="8"/>
      <c r="V90" s="8"/>
      <c r="W90" s="8"/>
      <c r="X90" s="8"/>
      <c r="Y90" s="8"/>
      <c r="Z90" s="8"/>
    </row>
    <row r="91" spans="1:26" ht="12.75" customHeight="1" x14ac:dyDescent="0.25">
      <c r="A91" s="133"/>
      <c r="B91" s="8"/>
      <c r="C91" s="8"/>
      <c r="D91" s="8"/>
      <c r="E91" s="8"/>
      <c r="F91" s="8"/>
      <c r="G91" s="8"/>
      <c r="H91" s="8"/>
      <c r="I91" s="8"/>
      <c r="J91" s="8"/>
      <c r="K91" s="8"/>
      <c r="L91" s="94"/>
      <c r="M91" s="8"/>
      <c r="N91" s="8"/>
      <c r="O91" s="8"/>
      <c r="P91" s="8"/>
      <c r="Q91" s="8"/>
      <c r="R91" s="8"/>
      <c r="S91" s="8"/>
      <c r="T91" s="8"/>
      <c r="U91" s="8"/>
      <c r="V91" s="8"/>
      <c r="W91" s="8"/>
      <c r="X91" s="8"/>
      <c r="Y91" s="8"/>
      <c r="Z91" s="8"/>
    </row>
    <row r="92" spans="1:26" ht="12.75" customHeight="1" x14ac:dyDescent="0.25">
      <c r="A92" s="133"/>
      <c r="B92" s="8"/>
      <c r="C92" s="8"/>
      <c r="D92" s="8"/>
      <c r="E92" s="8"/>
      <c r="F92" s="8"/>
      <c r="G92" s="8"/>
      <c r="H92" s="8"/>
      <c r="I92" s="8"/>
      <c r="J92" s="8"/>
      <c r="K92" s="8"/>
      <c r="L92" s="94"/>
      <c r="M92" s="8"/>
      <c r="N92" s="8"/>
      <c r="O92" s="8"/>
      <c r="P92" s="8"/>
      <c r="Q92" s="8"/>
      <c r="R92" s="8"/>
      <c r="S92" s="8"/>
      <c r="T92" s="8"/>
      <c r="U92" s="8"/>
      <c r="V92" s="8"/>
      <c r="W92" s="8"/>
      <c r="X92" s="8"/>
      <c r="Y92" s="8"/>
      <c r="Z92" s="8"/>
    </row>
    <row r="93" spans="1:26" ht="12.75" customHeight="1" x14ac:dyDescent="0.25">
      <c r="A93" s="133"/>
      <c r="B93" s="8"/>
      <c r="C93" s="8"/>
      <c r="D93" s="8"/>
      <c r="E93" s="8"/>
      <c r="F93" s="8"/>
      <c r="G93" s="8"/>
      <c r="H93" s="8"/>
      <c r="I93" s="8"/>
      <c r="J93" s="8"/>
      <c r="K93" s="8"/>
      <c r="L93" s="94"/>
      <c r="M93" s="8"/>
      <c r="N93" s="8"/>
      <c r="O93" s="8"/>
      <c r="P93" s="8"/>
      <c r="Q93" s="8"/>
      <c r="R93" s="8"/>
      <c r="S93" s="8"/>
      <c r="T93" s="8"/>
      <c r="U93" s="8"/>
      <c r="V93" s="8"/>
      <c r="W93" s="8"/>
      <c r="X93" s="8"/>
      <c r="Y93" s="8"/>
      <c r="Z93" s="8"/>
    </row>
    <row r="94" spans="1:26" ht="12.75" customHeight="1" x14ac:dyDescent="0.25">
      <c r="A94" s="133"/>
      <c r="B94" s="8"/>
      <c r="C94" s="8"/>
      <c r="D94" s="8"/>
      <c r="E94" s="8"/>
      <c r="F94" s="8"/>
      <c r="G94" s="8"/>
      <c r="H94" s="8"/>
      <c r="I94" s="8"/>
      <c r="J94" s="8"/>
      <c r="K94" s="8"/>
      <c r="L94" s="94"/>
      <c r="M94" s="8"/>
      <c r="N94" s="8"/>
      <c r="O94" s="8"/>
      <c r="P94" s="8"/>
      <c r="Q94" s="8"/>
      <c r="R94" s="8"/>
      <c r="S94" s="8"/>
      <c r="T94" s="8"/>
      <c r="U94" s="8"/>
      <c r="V94" s="8"/>
      <c r="W94" s="8"/>
      <c r="X94" s="8"/>
      <c r="Y94" s="8"/>
      <c r="Z94" s="8"/>
    </row>
    <row r="95" spans="1:26" ht="12.75" customHeight="1" x14ac:dyDescent="0.25">
      <c r="A95" s="133"/>
      <c r="B95" s="8"/>
      <c r="C95" s="8"/>
      <c r="D95" s="8"/>
      <c r="E95" s="8"/>
      <c r="F95" s="8"/>
      <c r="G95" s="8"/>
      <c r="H95" s="8"/>
      <c r="I95" s="8"/>
      <c r="J95" s="8"/>
      <c r="K95" s="8"/>
      <c r="L95" s="94"/>
      <c r="M95" s="8"/>
      <c r="N95" s="8"/>
      <c r="O95" s="8"/>
      <c r="P95" s="8"/>
      <c r="Q95" s="8"/>
      <c r="R95" s="8"/>
      <c r="S95" s="8"/>
      <c r="T95" s="8"/>
      <c r="U95" s="8"/>
      <c r="V95" s="8"/>
      <c r="W95" s="8"/>
      <c r="X95" s="8"/>
      <c r="Y95" s="8"/>
      <c r="Z95" s="8"/>
    </row>
    <row r="96" spans="1:26" ht="12.75" customHeight="1" x14ac:dyDescent="0.25">
      <c r="A96" s="133"/>
      <c r="B96" s="8"/>
      <c r="C96" s="8"/>
      <c r="D96" s="8"/>
      <c r="E96" s="8"/>
      <c r="F96" s="8"/>
      <c r="G96" s="8"/>
      <c r="H96" s="8"/>
      <c r="I96" s="8"/>
      <c r="J96" s="8"/>
      <c r="K96" s="8"/>
      <c r="L96" s="94"/>
      <c r="M96" s="8"/>
      <c r="N96" s="8"/>
      <c r="O96" s="8"/>
      <c r="P96" s="8"/>
      <c r="Q96" s="8"/>
      <c r="R96" s="8"/>
      <c r="S96" s="8"/>
      <c r="T96" s="8"/>
      <c r="U96" s="8"/>
      <c r="V96" s="8"/>
      <c r="W96" s="8"/>
      <c r="X96" s="8"/>
      <c r="Y96" s="8"/>
      <c r="Z96" s="8"/>
    </row>
    <row r="97" spans="1:26" ht="12.75" customHeight="1" x14ac:dyDescent="0.25">
      <c r="A97" s="133"/>
      <c r="B97" s="8"/>
      <c r="C97" s="8"/>
      <c r="D97" s="8"/>
      <c r="E97" s="8"/>
      <c r="F97" s="8"/>
      <c r="G97" s="8"/>
      <c r="H97" s="8"/>
      <c r="I97" s="8"/>
      <c r="J97" s="8"/>
      <c r="K97" s="8"/>
      <c r="L97" s="94"/>
      <c r="M97" s="8"/>
      <c r="N97" s="8"/>
      <c r="O97" s="8"/>
      <c r="P97" s="8"/>
      <c r="Q97" s="8"/>
      <c r="R97" s="8"/>
      <c r="S97" s="8"/>
      <c r="T97" s="8"/>
      <c r="U97" s="8"/>
      <c r="V97" s="8"/>
      <c r="W97" s="8"/>
      <c r="X97" s="8"/>
      <c r="Y97" s="8"/>
      <c r="Z97" s="8"/>
    </row>
    <row r="98" spans="1:26" ht="12.75" customHeight="1" x14ac:dyDescent="0.25">
      <c r="A98" s="133"/>
      <c r="B98" s="8"/>
      <c r="C98" s="8"/>
      <c r="D98" s="8"/>
      <c r="E98" s="8"/>
      <c r="F98" s="8"/>
      <c r="G98" s="8"/>
      <c r="H98" s="8"/>
      <c r="I98" s="8"/>
      <c r="J98" s="8"/>
      <c r="K98" s="8"/>
      <c r="L98" s="94"/>
      <c r="M98" s="8"/>
      <c r="N98" s="8"/>
      <c r="O98" s="8"/>
      <c r="P98" s="8"/>
      <c r="Q98" s="8"/>
      <c r="R98" s="8"/>
      <c r="S98" s="8"/>
      <c r="T98" s="8"/>
      <c r="U98" s="8"/>
      <c r="V98" s="8"/>
      <c r="W98" s="8"/>
      <c r="X98" s="8"/>
      <c r="Y98" s="8"/>
      <c r="Z98" s="8"/>
    </row>
    <row r="99" spans="1:26" ht="12.75" customHeight="1" x14ac:dyDescent="0.25">
      <c r="A99" s="133"/>
      <c r="B99" s="8"/>
      <c r="C99" s="8"/>
      <c r="D99" s="8"/>
      <c r="E99" s="8"/>
      <c r="F99" s="8"/>
      <c r="G99" s="8"/>
      <c r="H99" s="8"/>
      <c r="I99" s="8"/>
      <c r="J99" s="8"/>
      <c r="K99" s="8"/>
      <c r="L99" s="94"/>
      <c r="M99" s="8"/>
      <c r="N99" s="8"/>
      <c r="O99" s="8"/>
      <c r="P99" s="8"/>
      <c r="Q99" s="8"/>
      <c r="R99" s="8"/>
      <c r="S99" s="8"/>
      <c r="T99" s="8"/>
      <c r="U99" s="8"/>
      <c r="V99" s="8"/>
      <c r="W99" s="8"/>
      <c r="X99" s="8"/>
      <c r="Y99" s="8"/>
      <c r="Z99" s="8"/>
    </row>
    <row r="100" spans="1:26" ht="12.75" customHeight="1" x14ac:dyDescent="0.25">
      <c r="A100" s="133"/>
      <c r="B100" s="8"/>
      <c r="C100" s="8"/>
      <c r="D100" s="8"/>
      <c r="E100" s="8"/>
      <c r="F100" s="8"/>
      <c r="G100" s="8"/>
      <c r="H100" s="8"/>
      <c r="I100" s="8"/>
      <c r="J100" s="8"/>
      <c r="K100" s="8"/>
      <c r="L100" s="94"/>
      <c r="M100" s="8"/>
      <c r="N100" s="8"/>
      <c r="O100" s="8"/>
      <c r="P100" s="8"/>
      <c r="Q100" s="8"/>
      <c r="R100" s="8"/>
      <c r="S100" s="8"/>
      <c r="T100" s="8"/>
      <c r="U100" s="8"/>
      <c r="V100" s="8"/>
      <c r="W100" s="8"/>
      <c r="X100" s="8"/>
      <c r="Y100" s="8"/>
      <c r="Z100" s="8"/>
    </row>
    <row r="101" spans="1:26" ht="12.75" customHeight="1" x14ac:dyDescent="0.25">
      <c r="A101" s="133"/>
      <c r="B101" s="8"/>
      <c r="C101" s="8"/>
      <c r="D101" s="8"/>
      <c r="E101" s="8"/>
      <c r="F101" s="8"/>
      <c r="G101" s="8"/>
      <c r="H101" s="8"/>
      <c r="I101" s="8"/>
      <c r="J101" s="8"/>
      <c r="K101" s="8"/>
      <c r="L101" s="94"/>
      <c r="M101" s="8"/>
      <c r="N101" s="8"/>
      <c r="O101" s="8"/>
      <c r="P101" s="8"/>
      <c r="Q101" s="8"/>
      <c r="R101" s="8"/>
      <c r="S101" s="8"/>
      <c r="T101" s="8"/>
      <c r="U101" s="8"/>
      <c r="V101" s="8"/>
      <c r="W101" s="8"/>
      <c r="X101" s="8"/>
      <c r="Y101" s="8"/>
      <c r="Z101" s="8"/>
    </row>
    <row r="102" spans="1:26" ht="12.75" customHeight="1" x14ac:dyDescent="0.25">
      <c r="A102" s="133"/>
      <c r="B102" s="8"/>
      <c r="C102" s="8"/>
      <c r="D102" s="8"/>
      <c r="E102" s="8"/>
      <c r="F102" s="8"/>
      <c r="G102" s="8"/>
      <c r="H102" s="8"/>
      <c r="I102" s="8"/>
      <c r="J102" s="8"/>
      <c r="K102" s="8"/>
      <c r="L102" s="94"/>
      <c r="M102" s="8"/>
      <c r="N102" s="8"/>
      <c r="O102" s="8"/>
      <c r="P102" s="8"/>
      <c r="Q102" s="8"/>
      <c r="R102" s="8"/>
      <c r="S102" s="8"/>
      <c r="T102" s="8"/>
      <c r="U102" s="8"/>
      <c r="V102" s="8"/>
      <c r="W102" s="8"/>
      <c r="X102" s="8"/>
      <c r="Y102" s="8"/>
      <c r="Z102" s="8"/>
    </row>
    <row r="103" spans="1:26" ht="12.75" customHeight="1" x14ac:dyDescent="0.25">
      <c r="A103" s="133"/>
      <c r="B103" s="8"/>
      <c r="C103" s="8"/>
      <c r="D103" s="8"/>
      <c r="E103" s="8"/>
      <c r="F103" s="8"/>
      <c r="G103" s="8"/>
      <c r="H103" s="8"/>
      <c r="I103" s="8"/>
      <c r="J103" s="8"/>
      <c r="K103" s="8"/>
      <c r="L103" s="94"/>
      <c r="M103" s="8"/>
      <c r="N103" s="8"/>
      <c r="O103" s="8"/>
      <c r="P103" s="8"/>
      <c r="Q103" s="8"/>
      <c r="R103" s="8"/>
      <c r="S103" s="8"/>
      <c r="T103" s="8"/>
      <c r="U103" s="8"/>
      <c r="V103" s="8"/>
      <c r="W103" s="8"/>
      <c r="X103" s="8"/>
      <c r="Y103" s="8"/>
      <c r="Z103" s="8"/>
    </row>
    <row r="104" spans="1:26" ht="12.75" customHeight="1" x14ac:dyDescent="0.25">
      <c r="A104" s="133"/>
      <c r="B104" s="8"/>
      <c r="C104" s="8"/>
      <c r="D104" s="8"/>
      <c r="E104" s="8"/>
      <c r="F104" s="8"/>
      <c r="G104" s="8"/>
      <c r="H104" s="8"/>
      <c r="I104" s="8"/>
      <c r="J104" s="8"/>
      <c r="K104" s="8"/>
      <c r="L104" s="94"/>
      <c r="M104" s="8"/>
      <c r="N104" s="8"/>
      <c r="O104" s="8"/>
      <c r="P104" s="8"/>
      <c r="Q104" s="8"/>
      <c r="R104" s="8"/>
      <c r="S104" s="8"/>
      <c r="T104" s="8"/>
      <c r="U104" s="8"/>
      <c r="V104" s="8"/>
      <c r="W104" s="8"/>
      <c r="X104" s="8"/>
      <c r="Y104" s="8"/>
      <c r="Z104" s="8"/>
    </row>
    <row r="105" spans="1:26" ht="12.75" customHeight="1" x14ac:dyDescent="0.25">
      <c r="A105" s="133"/>
      <c r="B105" s="8"/>
      <c r="C105" s="8"/>
      <c r="D105" s="8"/>
      <c r="E105" s="8"/>
      <c r="F105" s="8"/>
      <c r="G105" s="8"/>
      <c r="H105" s="8"/>
      <c r="I105" s="8"/>
      <c r="J105" s="8"/>
      <c r="K105" s="8"/>
      <c r="L105" s="94"/>
      <c r="M105" s="8"/>
      <c r="N105" s="8"/>
      <c r="O105" s="8"/>
      <c r="P105" s="8"/>
      <c r="Q105" s="8"/>
      <c r="R105" s="8"/>
      <c r="S105" s="8"/>
      <c r="T105" s="8"/>
      <c r="U105" s="8"/>
      <c r="V105" s="8"/>
      <c r="W105" s="8"/>
      <c r="X105" s="8"/>
      <c r="Y105" s="8"/>
      <c r="Z105" s="8"/>
    </row>
    <row r="106" spans="1:26" ht="12.75" customHeight="1" x14ac:dyDescent="0.25">
      <c r="A106" s="133"/>
      <c r="B106" s="8"/>
      <c r="C106" s="8"/>
      <c r="D106" s="8"/>
      <c r="E106" s="8"/>
      <c r="F106" s="8"/>
      <c r="G106" s="8"/>
      <c r="H106" s="8"/>
      <c r="I106" s="8"/>
      <c r="J106" s="8"/>
      <c r="K106" s="8"/>
      <c r="L106" s="94"/>
      <c r="M106" s="8"/>
      <c r="N106" s="8"/>
      <c r="O106" s="8"/>
      <c r="P106" s="8"/>
      <c r="Q106" s="8"/>
      <c r="R106" s="8"/>
      <c r="S106" s="8"/>
      <c r="T106" s="8"/>
      <c r="U106" s="8"/>
      <c r="V106" s="8"/>
      <c r="W106" s="8"/>
      <c r="X106" s="8"/>
      <c r="Y106" s="8"/>
      <c r="Z106" s="8"/>
    </row>
    <row r="107" spans="1:26" ht="12.75" customHeight="1" x14ac:dyDescent="0.25">
      <c r="A107" s="133"/>
      <c r="B107" s="8"/>
      <c r="C107" s="8"/>
      <c r="D107" s="8"/>
      <c r="E107" s="8"/>
      <c r="F107" s="8"/>
      <c r="G107" s="8"/>
      <c r="H107" s="8"/>
      <c r="I107" s="8"/>
      <c r="J107" s="8"/>
      <c r="K107" s="8"/>
      <c r="L107" s="94"/>
      <c r="M107" s="8"/>
      <c r="N107" s="8"/>
      <c r="O107" s="8"/>
      <c r="P107" s="8"/>
      <c r="Q107" s="8"/>
      <c r="R107" s="8"/>
      <c r="S107" s="8"/>
      <c r="T107" s="8"/>
      <c r="U107" s="8"/>
      <c r="V107" s="8"/>
      <c r="W107" s="8"/>
      <c r="X107" s="8"/>
      <c r="Y107" s="8"/>
      <c r="Z107" s="8"/>
    </row>
    <row r="108" spans="1:26" ht="12.75" customHeight="1" x14ac:dyDescent="0.25">
      <c r="A108" s="133"/>
      <c r="B108" s="8"/>
      <c r="C108" s="8"/>
      <c r="D108" s="8"/>
      <c r="E108" s="8"/>
      <c r="F108" s="8"/>
      <c r="G108" s="8"/>
      <c r="H108" s="8"/>
      <c r="I108" s="8"/>
      <c r="J108" s="8"/>
      <c r="K108" s="8"/>
      <c r="L108" s="94"/>
      <c r="M108" s="8"/>
      <c r="N108" s="8"/>
      <c r="O108" s="8"/>
      <c r="P108" s="8"/>
      <c r="Q108" s="8"/>
      <c r="R108" s="8"/>
      <c r="S108" s="8"/>
      <c r="T108" s="8"/>
      <c r="U108" s="8"/>
      <c r="V108" s="8"/>
      <c r="W108" s="8"/>
      <c r="X108" s="8"/>
      <c r="Y108" s="8"/>
      <c r="Z108" s="8"/>
    </row>
    <row r="109" spans="1:26" ht="12.75" customHeight="1" x14ac:dyDescent="0.25">
      <c r="A109" s="133"/>
      <c r="B109" s="8"/>
      <c r="C109" s="8"/>
      <c r="D109" s="8"/>
      <c r="E109" s="8"/>
      <c r="F109" s="8"/>
      <c r="G109" s="8"/>
      <c r="H109" s="8"/>
      <c r="I109" s="8"/>
      <c r="J109" s="8"/>
      <c r="K109" s="8"/>
      <c r="L109" s="94"/>
      <c r="M109" s="8"/>
      <c r="N109" s="8"/>
      <c r="O109" s="8"/>
      <c r="P109" s="8"/>
      <c r="Q109" s="8"/>
      <c r="R109" s="8"/>
      <c r="S109" s="8"/>
      <c r="T109" s="8"/>
      <c r="U109" s="8"/>
      <c r="V109" s="8"/>
      <c r="W109" s="8"/>
      <c r="X109" s="8"/>
      <c r="Y109" s="8"/>
      <c r="Z109" s="8"/>
    </row>
    <row r="110" spans="1:26" ht="12.75" customHeight="1" x14ac:dyDescent="0.25">
      <c r="A110" s="133"/>
      <c r="B110" s="8"/>
      <c r="C110" s="8"/>
      <c r="D110" s="8"/>
      <c r="E110" s="8"/>
      <c r="F110" s="8"/>
      <c r="G110" s="8"/>
      <c r="H110" s="8"/>
      <c r="I110" s="8"/>
      <c r="J110" s="8"/>
      <c r="K110" s="8"/>
      <c r="L110" s="94"/>
      <c r="M110" s="8"/>
      <c r="N110" s="8"/>
      <c r="O110" s="8"/>
      <c r="P110" s="8"/>
      <c r="Q110" s="8"/>
      <c r="R110" s="8"/>
      <c r="S110" s="8"/>
      <c r="T110" s="8"/>
      <c r="U110" s="8"/>
      <c r="V110" s="8"/>
      <c r="W110" s="8"/>
      <c r="X110" s="8"/>
      <c r="Y110" s="8"/>
      <c r="Z110" s="8"/>
    </row>
    <row r="111" spans="1:26" ht="12.75" customHeight="1" x14ac:dyDescent="0.25">
      <c r="A111" s="133"/>
      <c r="B111" s="8"/>
      <c r="C111" s="8"/>
      <c r="D111" s="8"/>
      <c r="E111" s="8"/>
      <c r="F111" s="8"/>
      <c r="G111" s="8"/>
      <c r="H111" s="8"/>
      <c r="I111" s="8"/>
      <c r="J111" s="8"/>
      <c r="K111" s="8"/>
      <c r="L111" s="94"/>
      <c r="M111" s="8"/>
      <c r="N111" s="8"/>
      <c r="O111" s="8"/>
      <c r="P111" s="8"/>
      <c r="Q111" s="8"/>
      <c r="R111" s="8"/>
      <c r="S111" s="8"/>
      <c r="T111" s="8"/>
      <c r="U111" s="8"/>
      <c r="V111" s="8"/>
      <c r="W111" s="8"/>
      <c r="X111" s="8"/>
      <c r="Y111" s="8"/>
      <c r="Z111" s="8"/>
    </row>
    <row r="112" spans="1:26" ht="12.75" customHeight="1" x14ac:dyDescent="0.25">
      <c r="A112" s="133"/>
      <c r="B112" s="8"/>
      <c r="C112" s="8"/>
      <c r="D112" s="8"/>
      <c r="E112" s="8"/>
      <c r="F112" s="8"/>
      <c r="G112" s="8"/>
      <c r="H112" s="8"/>
      <c r="I112" s="8"/>
      <c r="J112" s="8"/>
      <c r="K112" s="8"/>
      <c r="L112" s="94"/>
      <c r="M112" s="8"/>
      <c r="N112" s="8"/>
      <c r="O112" s="8"/>
      <c r="P112" s="8"/>
      <c r="Q112" s="8"/>
      <c r="R112" s="8"/>
      <c r="S112" s="8"/>
      <c r="T112" s="8"/>
      <c r="U112" s="8"/>
      <c r="V112" s="8"/>
      <c r="W112" s="8"/>
      <c r="X112" s="8"/>
      <c r="Y112" s="8"/>
      <c r="Z112" s="8"/>
    </row>
    <row r="113" spans="1:26" ht="12.75" customHeight="1" x14ac:dyDescent="0.25">
      <c r="A113" s="133"/>
      <c r="B113" s="8"/>
      <c r="C113" s="8"/>
      <c r="D113" s="8"/>
      <c r="E113" s="8"/>
      <c r="F113" s="8"/>
      <c r="G113" s="8"/>
      <c r="H113" s="8"/>
      <c r="I113" s="8"/>
      <c r="J113" s="8"/>
      <c r="K113" s="8"/>
      <c r="L113" s="94"/>
      <c r="M113" s="8"/>
      <c r="N113" s="8"/>
      <c r="O113" s="8"/>
      <c r="P113" s="8"/>
      <c r="Q113" s="8"/>
      <c r="R113" s="8"/>
      <c r="S113" s="8"/>
      <c r="T113" s="8"/>
      <c r="U113" s="8"/>
      <c r="V113" s="8"/>
      <c r="W113" s="8"/>
      <c r="X113" s="8"/>
      <c r="Y113" s="8"/>
      <c r="Z113" s="8"/>
    </row>
    <row r="114" spans="1:26" ht="12.75" customHeight="1" x14ac:dyDescent="0.25">
      <c r="A114" s="133"/>
      <c r="B114" s="8"/>
      <c r="C114" s="8"/>
      <c r="D114" s="8"/>
      <c r="E114" s="8"/>
      <c r="F114" s="8"/>
      <c r="G114" s="8"/>
      <c r="H114" s="8"/>
      <c r="I114" s="8"/>
      <c r="J114" s="8"/>
      <c r="K114" s="8"/>
      <c r="L114" s="94"/>
      <c r="M114" s="8"/>
      <c r="N114" s="8"/>
      <c r="O114" s="8"/>
      <c r="P114" s="8"/>
      <c r="Q114" s="8"/>
      <c r="R114" s="8"/>
      <c r="S114" s="8"/>
      <c r="T114" s="8"/>
      <c r="U114" s="8"/>
      <c r="V114" s="8"/>
      <c r="W114" s="8"/>
      <c r="X114" s="8"/>
      <c r="Y114" s="8"/>
      <c r="Z114" s="8"/>
    </row>
    <row r="115" spans="1:26" ht="12.75" customHeight="1" x14ac:dyDescent="0.25">
      <c r="A115" s="133"/>
      <c r="B115" s="8"/>
      <c r="C115" s="8"/>
      <c r="D115" s="8"/>
      <c r="E115" s="8"/>
      <c r="F115" s="8"/>
      <c r="G115" s="8"/>
      <c r="H115" s="8"/>
      <c r="I115" s="8"/>
      <c r="J115" s="8"/>
      <c r="K115" s="8"/>
      <c r="L115" s="94"/>
      <c r="M115" s="8"/>
      <c r="N115" s="8"/>
      <c r="O115" s="8"/>
      <c r="P115" s="8"/>
      <c r="Q115" s="8"/>
      <c r="R115" s="8"/>
      <c r="S115" s="8"/>
      <c r="T115" s="8"/>
      <c r="U115" s="8"/>
      <c r="V115" s="8"/>
      <c r="W115" s="8"/>
      <c r="X115" s="8"/>
      <c r="Y115" s="8"/>
      <c r="Z115" s="8"/>
    </row>
    <row r="116" spans="1:26" ht="12.75" customHeight="1" x14ac:dyDescent="0.25">
      <c r="A116" s="133"/>
      <c r="B116" s="8"/>
      <c r="C116" s="8"/>
      <c r="D116" s="8"/>
      <c r="E116" s="8"/>
      <c r="F116" s="8"/>
      <c r="G116" s="8"/>
      <c r="H116" s="8"/>
      <c r="I116" s="8"/>
      <c r="J116" s="8"/>
      <c r="K116" s="8"/>
      <c r="L116" s="94"/>
      <c r="M116" s="8"/>
      <c r="N116" s="8"/>
      <c r="O116" s="8"/>
      <c r="P116" s="8"/>
      <c r="Q116" s="8"/>
      <c r="R116" s="8"/>
      <c r="S116" s="8"/>
      <c r="T116" s="8"/>
      <c r="U116" s="8"/>
      <c r="V116" s="8"/>
      <c r="W116" s="8"/>
      <c r="X116" s="8"/>
      <c r="Y116" s="8"/>
      <c r="Z116" s="8"/>
    </row>
    <row r="117" spans="1:26" ht="12.75" customHeight="1" x14ac:dyDescent="0.25">
      <c r="A117" s="133"/>
      <c r="B117" s="8"/>
      <c r="C117" s="8"/>
      <c r="D117" s="8"/>
      <c r="E117" s="8"/>
      <c r="F117" s="8"/>
      <c r="G117" s="8"/>
      <c r="H117" s="8"/>
      <c r="I117" s="8"/>
      <c r="J117" s="8"/>
      <c r="K117" s="8"/>
      <c r="L117" s="94"/>
      <c r="M117" s="8"/>
      <c r="N117" s="8"/>
      <c r="O117" s="8"/>
      <c r="P117" s="8"/>
      <c r="Q117" s="8"/>
      <c r="R117" s="8"/>
      <c r="S117" s="8"/>
      <c r="T117" s="8"/>
      <c r="U117" s="8"/>
      <c r="V117" s="8"/>
      <c r="W117" s="8"/>
      <c r="X117" s="8"/>
      <c r="Y117" s="8"/>
      <c r="Z117" s="8"/>
    </row>
    <row r="118" spans="1:26" ht="12.75" customHeight="1" x14ac:dyDescent="0.25">
      <c r="A118" s="133"/>
      <c r="B118" s="8"/>
      <c r="C118" s="8"/>
      <c r="D118" s="8"/>
      <c r="E118" s="8"/>
      <c r="F118" s="8"/>
      <c r="G118" s="8"/>
      <c r="H118" s="8"/>
      <c r="I118" s="8"/>
      <c r="J118" s="8"/>
      <c r="K118" s="8"/>
      <c r="L118" s="94"/>
      <c r="M118" s="8"/>
      <c r="N118" s="8"/>
      <c r="O118" s="8"/>
      <c r="P118" s="8"/>
      <c r="Q118" s="8"/>
      <c r="R118" s="8"/>
      <c r="S118" s="8"/>
      <c r="T118" s="8"/>
      <c r="U118" s="8"/>
      <c r="V118" s="8"/>
      <c r="W118" s="8"/>
      <c r="X118" s="8"/>
      <c r="Y118" s="8"/>
      <c r="Z118" s="8"/>
    </row>
    <row r="119" spans="1:26" ht="12.75" customHeight="1" x14ac:dyDescent="0.25">
      <c r="A119" s="133"/>
      <c r="B119" s="8"/>
      <c r="C119" s="8"/>
      <c r="D119" s="8"/>
      <c r="E119" s="8"/>
      <c r="F119" s="8"/>
      <c r="G119" s="8"/>
      <c r="H119" s="8"/>
      <c r="I119" s="8"/>
      <c r="J119" s="8"/>
      <c r="K119" s="8"/>
      <c r="L119" s="94"/>
      <c r="M119" s="8"/>
      <c r="N119" s="8"/>
      <c r="O119" s="8"/>
      <c r="P119" s="8"/>
      <c r="Q119" s="8"/>
      <c r="R119" s="8"/>
      <c r="S119" s="8"/>
      <c r="T119" s="8"/>
      <c r="U119" s="8"/>
      <c r="V119" s="8"/>
      <c r="W119" s="8"/>
      <c r="X119" s="8"/>
      <c r="Y119" s="8"/>
      <c r="Z119" s="8"/>
    </row>
    <row r="120" spans="1:26" ht="12.75" customHeight="1" x14ac:dyDescent="0.25">
      <c r="A120" s="133"/>
      <c r="B120" s="8"/>
      <c r="C120" s="8"/>
      <c r="D120" s="8"/>
      <c r="E120" s="8"/>
      <c r="F120" s="8"/>
      <c r="G120" s="8"/>
      <c r="H120" s="8"/>
      <c r="I120" s="8"/>
      <c r="J120" s="8"/>
      <c r="K120" s="8"/>
      <c r="L120" s="94"/>
      <c r="M120" s="8"/>
      <c r="N120" s="8"/>
      <c r="O120" s="8"/>
      <c r="P120" s="8"/>
      <c r="Q120" s="8"/>
      <c r="R120" s="8"/>
      <c r="S120" s="8"/>
      <c r="T120" s="8"/>
      <c r="U120" s="8"/>
      <c r="V120" s="8"/>
      <c r="W120" s="8"/>
      <c r="X120" s="8"/>
      <c r="Y120" s="8"/>
      <c r="Z120" s="8"/>
    </row>
    <row r="121" spans="1:26" ht="12.75" customHeight="1" x14ac:dyDescent="0.25">
      <c r="A121" s="133"/>
      <c r="B121" s="8"/>
      <c r="C121" s="8"/>
      <c r="D121" s="8"/>
      <c r="E121" s="8"/>
      <c r="F121" s="8"/>
      <c r="G121" s="8"/>
      <c r="H121" s="8"/>
      <c r="I121" s="8"/>
      <c r="J121" s="8"/>
      <c r="K121" s="8"/>
      <c r="L121" s="94"/>
      <c r="M121" s="8"/>
      <c r="N121" s="8"/>
      <c r="O121" s="8"/>
      <c r="P121" s="8"/>
      <c r="Q121" s="8"/>
      <c r="R121" s="8"/>
      <c r="S121" s="8"/>
      <c r="T121" s="8"/>
      <c r="U121" s="8"/>
      <c r="V121" s="8"/>
      <c r="W121" s="8"/>
      <c r="X121" s="8"/>
      <c r="Y121" s="8"/>
      <c r="Z121" s="8"/>
    </row>
    <row r="122" spans="1:26" ht="12.75" customHeight="1" x14ac:dyDescent="0.25">
      <c r="A122" s="133"/>
      <c r="B122" s="8"/>
      <c r="C122" s="8"/>
      <c r="D122" s="8"/>
      <c r="E122" s="8"/>
      <c r="F122" s="8"/>
      <c r="G122" s="8"/>
      <c r="H122" s="8"/>
      <c r="I122" s="8"/>
      <c r="J122" s="8"/>
      <c r="K122" s="8"/>
      <c r="L122" s="94"/>
      <c r="M122" s="8"/>
      <c r="N122" s="8"/>
      <c r="O122" s="8"/>
      <c r="P122" s="8"/>
      <c r="Q122" s="8"/>
      <c r="R122" s="8"/>
      <c r="S122" s="8"/>
      <c r="T122" s="8"/>
      <c r="U122" s="8"/>
      <c r="V122" s="8"/>
      <c r="W122" s="8"/>
      <c r="X122" s="8"/>
      <c r="Y122" s="8"/>
      <c r="Z122" s="8"/>
    </row>
    <row r="123" spans="1:26" ht="12.75" customHeight="1" x14ac:dyDescent="0.25">
      <c r="A123" s="133"/>
      <c r="B123" s="8"/>
      <c r="C123" s="8"/>
      <c r="D123" s="8"/>
      <c r="E123" s="8"/>
      <c r="F123" s="8"/>
      <c r="G123" s="8"/>
      <c r="H123" s="8"/>
      <c r="I123" s="8"/>
      <c r="J123" s="8"/>
      <c r="K123" s="8"/>
      <c r="L123" s="94"/>
      <c r="M123" s="8"/>
      <c r="N123" s="8"/>
      <c r="O123" s="8"/>
      <c r="P123" s="8"/>
      <c r="Q123" s="8"/>
      <c r="R123" s="8"/>
      <c r="S123" s="8"/>
      <c r="T123" s="8"/>
      <c r="U123" s="8"/>
      <c r="V123" s="8"/>
      <c r="W123" s="8"/>
      <c r="X123" s="8"/>
      <c r="Y123" s="8"/>
      <c r="Z123" s="8"/>
    </row>
    <row r="124" spans="1:26" ht="12.75" customHeight="1" x14ac:dyDescent="0.25">
      <c r="A124" s="133"/>
      <c r="B124" s="8"/>
      <c r="C124" s="8"/>
      <c r="D124" s="8"/>
      <c r="E124" s="8"/>
      <c r="F124" s="8"/>
      <c r="G124" s="8"/>
      <c r="H124" s="8"/>
      <c r="I124" s="8"/>
      <c r="J124" s="8"/>
      <c r="K124" s="8"/>
      <c r="L124" s="94"/>
      <c r="M124" s="8"/>
      <c r="N124" s="8"/>
      <c r="O124" s="8"/>
      <c r="P124" s="8"/>
      <c r="Q124" s="8"/>
      <c r="R124" s="8"/>
      <c r="S124" s="8"/>
      <c r="T124" s="8"/>
      <c r="U124" s="8"/>
      <c r="V124" s="8"/>
      <c r="W124" s="8"/>
      <c r="X124" s="8"/>
      <c r="Y124" s="8"/>
      <c r="Z124" s="8"/>
    </row>
    <row r="125" spans="1:26" ht="12.75" customHeight="1" x14ac:dyDescent="0.25">
      <c r="A125" s="133"/>
      <c r="B125" s="8"/>
      <c r="C125" s="8"/>
      <c r="D125" s="8"/>
      <c r="E125" s="8"/>
      <c r="F125" s="8"/>
      <c r="G125" s="8"/>
      <c r="H125" s="8"/>
      <c r="I125" s="8"/>
      <c r="J125" s="8"/>
      <c r="K125" s="8"/>
      <c r="L125" s="94"/>
      <c r="M125" s="8"/>
      <c r="N125" s="8"/>
      <c r="O125" s="8"/>
      <c r="P125" s="8"/>
      <c r="Q125" s="8"/>
      <c r="R125" s="8"/>
      <c r="S125" s="8"/>
      <c r="T125" s="8"/>
      <c r="U125" s="8"/>
      <c r="V125" s="8"/>
      <c r="W125" s="8"/>
      <c r="X125" s="8"/>
      <c r="Y125" s="8"/>
      <c r="Z125" s="8"/>
    </row>
    <row r="126" spans="1:26" ht="12.75" customHeight="1" x14ac:dyDescent="0.25">
      <c r="A126" s="133"/>
      <c r="B126" s="8"/>
      <c r="C126" s="8"/>
      <c r="D126" s="8"/>
      <c r="E126" s="8"/>
      <c r="F126" s="8"/>
      <c r="G126" s="8"/>
      <c r="H126" s="8"/>
      <c r="I126" s="8"/>
      <c r="J126" s="8"/>
      <c r="K126" s="8"/>
      <c r="L126" s="94"/>
      <c r="M126" s="8"/>
      <c r="N126" s="8"/>
      <c r="O126" s="8"/>
      <c r="P126" s="8"/>
      <c r="Q126" s="8"/>
      <c r="R126" s="8"/>
      <c r="S126" s="8"/>
      <c r="T126" s="8"/>
      <c r="U126" s="8"/>
      <c r="V126" s="8"/>
      <c r="W126" s="8"/>
      <c r="X126" s="8"/>
      <c r="Y126" s="8"/>
      <c r="Z126" s="8"/>
    </row>
    <row r="127" spans="1:26" ht="12.75" customHeight="1" x14ac:dyDescent="0.25">
      <c r="A127" s="133"/>
      <c r="B127" s="8"/>
      <c r="C127" s="8"/>
      <c r="D127" s="8"/>
      <c r="E127" s="8"/>
      <c r="F127" s="8"/>
      <c r="G127" s="8"/>
      <c r="H127" s="8"/>
      <c r="I127" s="8"/>
      <c r="J127" s="8"/>
      <c r="K127" s="8"/>
      <c r="L127" s="94"/>
      <c r="M127" s="8"/>
      <c r="N127" s="8"/>
      <c r="O127" s="8"/>
      <c r="P127" s="8"/>
      <c r="Q127" s="8"/>
      <c r="R127" s="8"/>
      <c r="S127" s="8"/>
      <c r="T127" s="8"/>
      <c r="U127" s="8"/>
      <c r="V127" s="8"/>
      <c r="W127" s="8"/>
      <c r="X127" s="8"/>
      <c r="Y127" s="8"/>
      <c r="Z127" s="8"/>
    </row>
    <row r="128" spans="1:26" ht="12.75" customHeight="1" x14ac:dyDescent="0.25">
      <c r="A128" s="133"/>
      <c r="B128" s="8"/>
      <c r="C128" s="8"/>
      <c r="D128" s="8"/>
      <c r="E128" s="8"/>
      <c r="F128" s="8"/>
      <c r="G128" s="8"/>
      <c r="H128" s="8"/>
      <c r="I128" s="8"/>
      <c r="J128" s="8"/>
      <c r="K128" s="8"/>
      <c r="L128" s="94"/>
      <c r="M128" s="8"/>
      <c r="N128" s="8"/>
      <c r="O128" s="8"/>
      <c r="P128" s="8"/>
      <c r="Q128" s="8"/>
      <c r="R128" s="8"/>
      <c r="S128" s="8"/>
      <c r="T128" s="8"/>
      <c r="U128" s="8"/>
      <c r="V128" s="8"/>
      <c r="W128" s="8"/>
      <c r="X128" s="8"/>
      <c r="Y128" s="8"/>
      <c r="Z128" s="8"/>
    </row>
    <row r="129" spans="1:26" ht="12.75" customHeight="1" x14ac:dyDescent="0.25">
      <c r="A129" s="133"/>
      <c r="B129" s="8"/>
      <c r="C129" s="8"/>
      <c r="D129" s="8"/>
      <c r="E129" s="8"/>
      <c r="F129" s="8"/>
      <c r="G129" s="8"/>
      <c r="H129" s="8"/>
      <c r="I129" s="8"/>
      <c r="J129" s="8"/>
      <c r="K129" s="8"/>
      <c r="L129" s="94"/>
      <c r="M129" s="8"/>
      <c r="N129" s="8"/>
      <c r="O129" s="8"/>
      <c r="P129" s="8"/>
      <c r="Q129" s="8"/>
      <c r="R129" s="8"/>
      <c r="S129" s="8"/>
      <c r="T129" s="8"/>
      <c r="U129" s="8"/>
      <c r="V129" s="8"/>
      <c r="W129" s="8"/>
      <c r="X129" s="8"/>
      <c r="Y129" s="8"/>
      <c r="Z129" s="8"/>
    </row>
    <row r="130" spans="1:26" ht="12.75" customHeight="1" x14ac:dyDescent="0.25">
      <c r="A130" s="133"/>
      <c r="B130" s="8"/>
      <c r="C130" s="8"/>
      <c r="D130" s="8"/>
      <c r="E130" s="8"/>
      <c r="F130" s="8"/>
      <c r="G130" s="8"/>
      <c r="H130" s="8"/>
      <c r="I130" s="8"/>
      <c r="J130" s="8"/>
      <c r="K130" s="8"/>
      <c r="L130" s="94"/>
      <c r="M130" s="8"/>
      <c r="N130" s="8"/>
      <c r="O130" s="8"/>
      <c r="P130" s="8"/>
      <c r="Q130" s="8"/>
      <c r="R130" s="8"/>
      <c r="S130" s="8"/>
      <c r="T130" s="8"/>
      <c r="U130" s="8"/>
      <c r="V130" s="8"/>
      <c r="W130" s="8"/>
      <c r="X130" s="8"/>
      <c r="Y130" s="8"/>
      <c r="Z130" s="8"/>
    </row>
    <row r="131" spans="1:26" ht="12.75" customHeight="1" x14ac:dyDescent="0.25">
      <c r="A131" s="133"/>
      <c r="B131" s="8"/>
      <c r="C131" s="8"/>
      <c r="D131" s="8"/>
      <c r="E131" s="8"/>
      <c r="F131" s="8"/>
      <c r="G131" s="8"/>
      <c r="H131" s="8"/>
      <c r="I131" s="8"/>
      <c r="J131" s="8"/>
      <c r="K131" s="8"/>
      <c r="L131" s="94"/>
      <c r="M131" s="8"/>
      <c r="N131" s="8"/>
      <c r="O131" s="8"/>
      <c r="P131" s="8"/>
      <c r="Q131" s="8"/>
      <c r="R131" s="8"/>
      <c r="S131" s="8"/>
      <c r="T131" s="8"/>
      <c r="U131" s="8"/>
      <c r="V131" s="8"/>
      <c r="W131" s="8"/>
      <c r="X131" s="8"/>
      <c r="Y131" s="8"/>
      <c r="Z131" s="8"/>
    </row>
    <row r="132" spans="1:26" ht="12.75" customHeight="1" x14ac:dyDescent="0.25">
      <c r="A132" s="133"/>
      <c r="B132" s="8"/>
      <c r="C132" s="8"/>
      <c r="D132" s="8"/>
      <c r="E132" s="8"/>
      <c r="F132" s="8"/>
      <c r="G132" s="8"/>
      <c r="H132" s="8"/>
      <c r="I132" s="8"/>
      <c r="J132" s="8"/>
      <c r="K132" s="8"/>
      <c r="L132" s="94"/>
      <c r="M132" s="8"/>
      <c r="N132" s="8"/>
      <c r="O132" s="8"/>
      <c r="P132" s="8"/>
      <c r="Q132" s="8"/>
      <c r="R132" s="8"/>
      <c r="S132" s="8"/>
      <c r="T132" s="8"/>
      <c r="U132" s="8"/>
      <c r="V132" s="8"/>
      <c r="W132" s="8"/>
      <c r="X132" s="8"/>
      <c r="Y132" s="8"/>
      <c r="Z132" s="8"/>
    </row>
    <row r="133" spans="1:26" ht="12.75" customHeight="1" x14ac:dyDescent="0.25">
      <c r="A133" s="133"/>
      <c r="B133" s="8"/>
      <c r="C133" s="8"/>
      <c r="D133" s="8"/>
      <c r="E133" s="8"/>
      <c r="F133" s="8"/>
      <c r="G133" s="8"/>
      <c r="H133" s="8"/>
      <c r="I133" s="8"/>
      <c r="J133" s="8"/>
      <c r="K133" s="8"/>
      <c r="L133" s="94"/>
      <c r="M133" s="8"/>
      <c r="N133" s="8"/>
      <c r="O133" s="8"/>
      <c r="P133" s="8"/>
      <c r="Q133" s="8"/>
      <c r="R133" s="8"/>
      <c r="S133" s="8"/>
      <c r="T133" s="8"/>
      <c r="U133" s="8"/>
      <c r="V133" s="8"/>
      <c r="W133" s="8"/>
      <c r="X133" s="8"/>
      <c r="Y133" s="8"/>
      <c r="Z133" s="8"/>
    </row>
    <row r="134" spans="1:26" ht="12.75" customHeight="1" x14ac:dyDescent="0.25">
      <c r="A134" s="133"/>
      <c r="B134" s="8"/>
      <c r="C134" s="8"/>
      <c r="D134" s="8"/>
      <c r="E134" s="8"/>
      <c r="F134" s="8"/>
      <c r="G134" s="8"/>
      <c r="H134" s="8"/>
      <c r="I134" s="8"/>
      <c r="J134" s="8"/>
      <c r="K134" s="8"/>
      <c r="L134" s="94"/>
      <c r="M134" s="8"/>
      <c r="N134" s="8"/>
      <c r="O134" s="8"/>
      <c r="P134" s="8"/>
      <c r="Q134" s="8"/>
      <c r="R134" s="8"/>
      <c r="S134" s="8"/>
      <c r="T134" s="8"/>
      <c r="U134" s="8"/>
      <c r="V134" s="8"/>
      <c r="W134" s="8"/>
      <c r="X134" s="8"/>
      <c r="Y134" s="8"/>
      <c r="Z134" s="8"/>
    </row>
    <row r="135" spans="1:26" ht="12.75" customHeight="1" x14ac:dyDescent="0.25">
      <c r="A135" s="133"/>
      <c r="B135" s="8"/>
      <c r="C135" s="8"/>
      <c r="D135" s="8"/>
      <c r="E135" s="8"/>
      <c r="F135" s="8"/>
      <c r="G135" s="8"/>
      <c r="H135" s="8"/>
      <c r="I135" s="8"/>
      <c r="J135" s="8"/>
      <c r="K135" s="8"/>
      <c r="L135" s="94"/>
      <c r="M135" s="8"/>
      <c r="N135" s="8"/>
      <c r="O135" s="8"/>
      <c r="P135" s="8"/>
      <c r="Q135" s="8"/>
      <c r="R135" s="8"/>
      <c r="S135" s="8"/>
      <c r="T135" s="8"/>
      <c r="U135" s="8"/>
      <c r="V135" s="8"/>
      <c r="W135" s="8"/>
      <c r="X135" s="8"/>
      <c r="Y135" s="8"/>
      <c r="Z135" s="8"/>
    </row>
    <row r="136" spans="1:26" ht="12.75" customHeight="1" x14ac:dyDescent="0.25">
      <c r="A136" s="133"/>
      <c r="B136" s="8"/>
      <c r="C136" s="8"/>
      <c r="D136" s="8"/>
      <c r="E136" s="8"/>
      <c r="F136" s="8"/>
      <c r="G136" s="8"/>
      <c r="H136" s="8"/>
      <c r="I136" s="8"/>
      <c r="J136" s="8"/>
      <c r="K136" s="8"/>
      <c r="L136" s="94"/>
      <c r="M136" s="8"/>
      <c r="N136" s="8"/>
      <c r="O136" s="8"/>
      <c r="P136" s="8"/>
      <c r="Q136" s="8"/>
      <c r="R136" s="8"/>
      <c r="S136" s="8"/>
      <c r="T136" s="8"/>
      <c r="U136" s="8"/>
      <c r="V136" s="8"/>
      <c r="W136" s="8"/>
      <c r="X136" s="8"/>
      <c r="Y136" s="8"/>
      <c r="Z136" s="8"/>
    </row>
    <row r="137" spans="1:26" ht="12.75" customHeight="1" x14ac:dyDescent="0.25">
      <c r="A137" s="133"/>
      <c r="B137" s="8"/>
      <c r="C137" s="8"/>
      <c r="D137" s="8"/>
      <c r="E137" s="8"/>
      <c r="F137" s="8"/>
      <c r="G137" s="8"/>
      <c r="H137" s="8"/>
      <c r="I137" s="8"/>
      <c r="J137" s="8"/>
      <c r="K137" s="8"/>
      <c r="L137" s="94"/>
      <c r="M137" s="8"/>
      <c r="N137" s="8"/>
      <c r="O137" s="8"/>
      <c r="P137" s="8"/>
      <c r="Q137" s="8"/>
      <c r="R137" s="8"/>
      <c r="S137" s="8"/>
      <c r="T137" s="8"/>
      <c r="U137" s="8"/>
      <c r="V137" s="8"/>
      <c r="W137" s="8"/>
      <c r="X137" s="8"/>
      <c r="Y137" s="8"/>
      <c r="Z137" s="8"/>
    </row>
    <row r="138" spans="1:26" ht="12.75" customHeight="1" x14ac:dyDescent="0.25">
      <c r="A138" s="133"/>
      <c r="B138" s="8"/>
      <c r="C138" s="8"/>
      <c r="D138" s="8"/>
      <c r="E138" s="8"/>
      <c r="F138" s="8"/>
      <c r="G138" s="8"/>
      <c r="H138" s="8"/>
      <c r="I138" s="8"/>
      <c r="J138" s="8"/>
      <c r="K138" s="8"/>
      <c r="L138" s="94"/>
      <c r="M138" s="8"/>
      <c r="N138" s="8"/>
      <c r="O138" s="8"/>
      <c r="P138" s="8"/>
      <c r="Q138" s="8"/>
      <c r="R138" s="8"/>
      <c r="S138" s="8"/>
      <c r="T138" s="8"/>
      <c r="U138" s="8"/>
      <c r="V138" s="8"/>
      <c r="W138" s="8"/>
      <c r="X138" s="8"/>
      <c r="Y138" s="8"/>
      <c r="Z138" s="8"/>
    </row>
    <row r="139" spans="1:26" ht="12.75" customHeight="1" x14ac:dyDescent="0.25">
      <c r="A139" s="133"/>
      <c r="B139" s="8"/>
      <c r="C139" s="8"/>
      <c r="D139" s="8"/>
      <c r="E139" s="8"/>
      <c r="F139" s="8"/>
      <c r="G139" s="8"/>
      <c r="H139" s="8"/>
      <c r="I139" s="8"/>
      <c r="J139" s="8"/>
      <c r="K139" s="8"/>
      <c r="L139" s="94"/>
      <c r="M139" s="8"/>
      <c r="N139" s="8"/>
      <c r="O139" s="8"/>
      <c r="P139" s="8"/>
      <c r="Q139" s="8"/>
      <c r="R139" s="8"/>
      <c r="S139" s="8"/>
      <c r="T139" s="8"/>
      <c r="U139" s="8"/>
      <c r="V139" s="8"/>
      <c r="W139" s="8"/>
      <c r="X139" s="8"/>
      <c r="Y139" s="8"/>
      <c r="Z139" s="8"/>
    </row>
    <row r="140" spans="1:26" ht="12.75" customHeight="1" x14ac:dyDescent="0.25">
      <c r="A140" s="133"/>
      <c r="B140" s="8"/>
      <c r="C140" s="8"/>
      <c r="D140" s="8"/>
      <c r="E140" s="8"/>
      <c r="F140" s="8"/>
      <c r="G140" s="8"/>
      <c r="H140" s="8"/>
      <c r="I140" s="8"/>
      <c r="J140" s="8"/>
      <c r="K140" s="8"/>
      <c r="L140" s="94"/>
      <c r="M140" s="8"/>
      <c r="N140" s="8"/>
      <c r="O140" s="8"/>
      <c r="P140" s="8"/>
      <c r="Q140" s="8"/>
      <c r="R140" s="8"/>
      <c r="S140" s="8"/>
      <c r="T140" s="8"/>
      <c r="U140" s="8"/>
      <c r="V140" s="8"/>
      <c r="W140" s="8"/>
      <c r="X140" s="8"/>
      <c r="Y140" s="8"/>
      <c r="Z140" s="8"/>
    </row>
    <row r="141" spans="1:26" ht="12.75" customHeight="1" x14ac:dyDescent="0.25">
      <c r="A141" s="133"/>
      <c r="B141" s="8"/>
      <c r="C141" s="8"/>
      <c r="D141" s="8"/>
      <c r="E141" s="8"/>
      <c r="F141" s="8"/>
      <c r="G141" s="8"/>
      <c r="H141" s="8"/>
      <c r="I141" s="8"/>
      <c r="J141" s="8"/>
      <c r="K141" s="8"/>
      <c r="L141" s="94"/>
      <c r="M141" s="8"/>
      <c r="N141" s="8"/>
      <c r="O141" s="8"/>
      <c r="P141" s="8"/>
      <c r="Q141" s="8"/>
      <c r="R141" s="8"/>
      <c r="S141" s="8"/>
      <c r="T141" s="8"/>
      <c r="U141" s="8"/>
      <c r="V141" s="8"/>
      <c r="W141" s="8"/>
      <c r="X141" s="8"/>
      <c r="Y141" s="8"/>
      <c r="Z141" s="8"/>
    </row>
    <row r="142" spans="1:26" ht="12.75" customHeight="1" x14ac:dyDescent="0.25">
      <c r="A142" s="133"/>
      <c r="B142" s="8"/>
      <c r="C142" s="8"/>
      <c r="D142" s="8"/>
      <c r="E142" s="8"/>
      <c r="F142" s="8"/>
      <c r="G142" s="8"/>
      <c r="H142" s="8"/>
      <c r="I142" s="8"/>
      <c r="J142" s="8"/>
      <c r="K142" s="8"/>
      <c r="L142" s="94"/>
      <c r="M142" s="8"/>
      <c r="N142" s="8"/>
      <c r="O142" s="8"/>
      <c r="P142" s="8"/>
      <c r="Q142" s="8"/>
      <c r="R142" s="8"/>
      <c r="S142" s="8"/>
      <c r="T142" s="8"/>
      <c r="U142" s="8"/>
      <c r="V142" s="8"/>
      <c r="W142" s="8"/>
      <c r="X142" s="8"/>
      <c r="Y142" s="8"/>
      <c r="Z142" s="8"/>
    </row>
    <row r="143" spans="1:26" ht="12.75" customHeight="1" x14ac:dyDescent="0.25">
      <c r="A143" s="133"/>
      <c r="B143" s="8"/>
      <c r="C143" s="8"/>
      <c r="D143" s="8"/>
      <c r="E143" s="8"/>
      <c r="F143" s="8"/>
      <c r="G143" s="8"/>
      <c r="H143" s="8"/>
      <c r="I143" s="8"/>
      <c r="J143" s="8"/>
      <c r="K143" s="8"/>
      <c r="L143" s="94"/>
      <c r="M143" s="8"/>
      <c r="N143" s="8"/>
      <c r="O143" s="8"/>
      <c r="P143" s="8"/>
      <c r="Q143" s="8"/>
      <c r="R143" s="8"/>
      <c r="S143" s="8"/>
      <c r="T143" s="8"/>
      <c r="U143" s="8"/>
      <c r="V143" s="8"/>
      <c r="W143" s="8"/>
      <c r="X143" s="8"/>
      <c r="Y143" s="8"/>
      <c r="Z143" s="8"/>
    </row>
    <row r="144" spans="1:26" ht="12.75" customHeight="1" x14ac:dyDescent="0.25">
      <c r="A144" s="133"/>
      <c r="B144" s="8"/>
      <c r="C144" s="8"/>
      <c r="D144" s="8"/>
      <c r="E144" s="8"/>
      <c r="F144" s="8"/>
      <c r="G144" s="8"/>
      <c r="H144" s="8"/>
      <c r="I144" s="8"/>
      <c r="J144" s="8"/>
      <c r="K144" s="8"/>
      <c r="L144" s="94"/>
      <c r="M144" s="8"/>
      <c r="N144" s="8"/>
      <c r="O144" s="8"/>
      <c r="P144" s="8"/>
      <c r="Q144" s="8"/>
      <c r="R144" s="8"/>
      <c r="S144" s="8"/>
      <c r="T144" s="8"/>
      <c r="U144" s="8"/>
      <c r="V144" s="8"/>
      <c r="W144" s="8"/>
      <c r="X144" s="8"/>
      <c r="Y144" s="8"/>
      <c r="Z144" s="8"/>
    </row>
    <row r="145" spans="1:26" ht="12.75" customHeight="1" x14ac:dyDescent="0.25">
      <c r="A145" s="133"/>
      <c r="B145" s="8"/>
      <c r="C145" s="8"/>
      <c r="D145" s="8"/>
      <c r="E145" s="8"/>
      <c r="F145" s="8"/>
      <c r="G145" s="8"/>
      <c r="H145" s="8"/>
      <c r="I145" s="8"/>
      <c r="J145" s="8"/>
      <c r="K145" s="8"/>
      <c r="L145" s="94"/>
      <c r="M145" s="8"/>
      <c r="N145" s="8"/>
      <c r="O145" s="8"/>
      <c r="P145" s="8"/>
      <c r="Q145" s="8"/>
      <c r="R145" s="8"/>
      <c r="S145" s="8"/>
      <c r="T145" s="8"/>
      <c r="U145" s="8"/>
      <c r="V145" s="8"/>
      <c r="W145" s="8"/>
      <c r="X145" s="8"/>
      <c r="Y145" s="8"/>
      <c r="Z145" s="8"/>
    </row>
    <row r="146" spans="1:26" ht="12.75" customHeight="1" x14ac:dyDescent="0.25">
      <c r="A146" s="133"/>
      <c r="B146" s="8"/>
      <c r="C146" s="8"/>
      <c r="D146" s="8"/>
      <c r="E146" s="8"/>
      <c r="F146" s="8"/>
      <c r="G146" s="8"/>
      <c r="H146" s="8"/>
      <c r="I146" s="8"/>
      <c r="J146" s="8"/>
      <c r="K146" s="8"/>
      <c r="L146" s="94"/>
      <c r="M146" s="8"/>
      <c r="N146" s="8"/>
      <c r="O146" s="8"/>
      <c r="P146" s="8"/>
      <c r="Q146" s="8"/>
      <c r="R146" s="8"/>
      <c r="S146" s="8"/>
      <c r="T146" s="8"/>
      <c r="U146" s="8"/>
      <c r="V146" s="8"/>
      <c r="W146" s="8"/>
      <c r="X146" s="8"/>
      <c r="Y146" s="8"/>
      <c r="Z146" s="8"/>
    </row>
    <row r="147" spans="1:26" ht="12.75" customHeight="1" x14ac:dyDescent="0.25">
      <c r="A147" s="133"/>
      <c r="B147" s="8"/>
      <c r="C147" s="8"/>
      <c r="D147" s="8"/>
      <c r="E147" s="8"/>
      <c r="F147" s="8"/>
      <c r="G147" s="8"/>
      <c r="H147" s="8"/>
      <c r="I147" s="8"/>
      <c r="J147" s="8"/>
      <c r="K147" s="8"/>
      <c r="L147" s="94"/>
      <c r="M147" s="8"/>
      <c r="N147" s="8"/>
      <c r="O147" s="8"/>
      <c r="P147" s="8"/>
      <c r="Q147" s="8"/>
      <c r="R147" s="8"/>
      <c r="S147" s="8"/>
      <c r="T147" s="8"/>
      <c r="U147" s="8"/>
      <c r="V147" s="8"/>
      <c r="W147" s="8"/>
      <c r="X147" s="8"/>
      <c r="Y147" s="8"/>
      <c r="Z147" s="8"/>
    </row>
    <row r="148" spans="1:26" ht="12.75" customHeight="1" x14ac:dyDescent="0.25">
      <c r="A148" s="133"/>
      <c r="B148" s="8"/>
      <c r="C148" s="8"/>
      <c r="D148" s="8"/>
      <c r="E148" s="8"/>
      <c r="F148" s="8"/>
      <c r="G148" s="8"/>
      <c r="H148" s="8"/>
      <c r="I148" s="8"/>
      <c r="J148" s="8"/>
      <c r="K148" s="8"/>
      <c r="L148" s="94"/>
      <c r="M148" s="8"/>
      <c r="N148" s="8"/>
      <c r="O148" s="8"/>
      <c r="P148" s="8"/>
      <c r="Q148" s="8"/>
      <c r="R148" s="8"/>
      <c r="S148" s="8"/>
      <c r="T148" s="8"/>
      <c r="U148" s="8"/>
      <c r="V148" s="8"/>
      <c r="W148" s="8"/>
      <c r="X148" s="8"/>
      <c r="Y148" s="8"/>
      <c r="Z148" s="8"/>
    </row>
    <row r="149" spans="1:26" ht="12.75" customHeight="1" x14ac:dyDescent="0.25">
      <c r="A149" s="133"/>
      <c r="B149" s="8"/>
      <c r="C149" s="8"/>
      <c r="D149" s="8"/>
      <c r="E149" s="8"/>
      <c r="F149" s="8"/>
      <c r="G149" s="8"/>
      <c r="H149" s="8"/>
      <c r="I149" s="8"/>
      <c r="J149" s="8"/>
      <c r="K149" s="8"/>
      <c r="L149" s="94"/>
      <c r="M149" s="8"/>
      <c r="N149" s="8"/>
      <c r="O149" s="8"/>
      <c r="P149" s="8"/>
      <c r="Q149" s="8"/>
      <c r="R149" s="8"/>
      <c r="S149" s="8"/>
      <c r="T149" s="8"/>
      <c r="U149" s="8"/>
      <c r="V149" s="8"/>
      <c r="W149" s="8"/>
      <c r="X149" s="8"/>
      <c r="Y149" s="8"/>
      <c r="Z149" s="8"/>
    </row>
    <row r="150" spans="1:26" ht="12.75" customHeight="1" x14ac:dyDescent="0.25">
      <c r="A150" s="133"/>
      <c r="B150" s="8"/>
      <c r="C150" s="8"/>
      <c r="D150" s="8"/>
      <c r="E150" s="8"/>
      <c r="F150" s="8"/>
      <c r="G150" s="8"/>
      <c r="H150" s="8"/>
      <c r="I150" s="8"/>
      <c r="J150" s="8"/>
      <c r="K150" s="8"/>
      <c r="L150" s="94"/>
      <c r="M150" s="8"/>
      <c r="N150" s="8"/>
      <c r="O150" s="8"/>
      <c r="P150" s="8"/>
      <c r="Q150" s="8"/>
      <c r="R150" s="8"/>
      <c r="S150" s="8"/>
      <c r="T150" s="8"/>
      <c r="U150" s="8"/>
      <c r="V150" s="8"/>
      <c r="W150" s="8"/>
      <c r="X150" s="8"/>
      <c r="Y150" s="8"/>
      <c r="Z150" s="8"/>
    </row>
    <row r="151" spans="1:26" ht="12.75" customHeight="1" x14ac:dyDescent="0.25">
      <c r="A151" s="133"/>
      <c r="B151" s="8"/>
      <c r="C151" s="8"/>
      <c r="D151" s="8"/>
      <c r="E151" s="8"/>
      <c r="F151" s="8"/>
      <c r="G151" s="8"/>
      <c r="H151" s="8"/>
      <c r="I151" s="8"/>
      <c r="J151" s="8"/>
      <c r="K151" s="8"/>
      <c r="L151" s="94"/>
      <c r="M151" s="8"/>
      <c r="N151" s="8"/>
      <c r="O151" s="8"/>
      <c r="P151" s="8"/>
      <c r="Q151" s="8"/>
      <c r="R151" s="8"/>
      <c r="S151" s="8"/>
      <c r="T151" s="8"/>
      <c r="U151" s="8"/>
      <c r="V151" s="8"/>
      <c r="W151" s="8"/>
      <c r="X151" s="8"/>
      <c r="Y151" s="8"/>
      <c r="Z151" s="8"/>
    </row>
    <row r="152" spans="1:26" ht="12.75" customHeight="1" x14ac:dyDescent="0.25">
      <c r="A152" s="133"/>
      <c r="B152" s="8"/>
      <c r="C152" s="8"/>
      <c r="D152" s="8"/>
      <c r="E152" s="8"/>
      <c r="F152" s="8"/>
      <c r="G152" s="8"/>
      <c r="H152" s="8"/>
      <c r="I152" s="8"/>
      <c r="J152" s="8"/>
      <c r="K152" s="8"/>
      <c r="L152" s="94"/>
      <c r="M152" s="8"/>
      <c r="N152" s="8"/>
      <c r="O152" s="8"/>
      <c r="P152" s="8"/>
      <c r="Q152" s="8"/>
      <c r="R152" s="8"/>
      <c r="S152" s="8"/>
      <c r="T152" s="8"/>
      <c r="U152" s="8"/>
      <c r="V152" s="8"/>
      <c r="W152" s="8"/>
      <c r="X152" s="8"/>
      <c r="Y152" s="8"/>
      <c r="Z152" s="8"/>
    </row>
    <row r="153" spans="1:26" ht="12.75" customHeight="1" x14ac:dyDescent="0.25">
      <c r="A153" s="133"/>
      <c r="B153" s="8"/>
      <c r="C153" s="8"/>
      <c r="D153" s="8"/>
      <c r="E153" s="8"/>
      <c r="F153" s="8"/>
      <c r="G153" s="8"/>
      <c r="H153" s="8"/>
      <c r="I153" s="8"/>
      <c r="J153" s="8"/>
      <c r="K153" s="8"/>
      <c r="L153" s="94"/>
      <c r="M153" s="8"/>
      <c r="N153" s="8"/>
      <c r="O153" s="8"/>
      <c r="P153" s="8"/>
      <c r="Q153" s="8"/>
      <c r="R153" s="8"/>
      <c r="S153" s="8"/>
      <c r="T153" s="8"/>
      <c r="U153" s="8"/>
      <c r="V153" s="8"/>
      <c r="W153" s="8"/>
      <c r="X153" s="8"/>
      <c r="Y153" s="8"/>
      <c r="Z153" s="8"/>
    </row>
    <row r="154" spans="1:26" ht="12.75" customHeight="1" x14ac:dyDescent="0.25">
      <c r="A154" s="133"/>
      <c r="B154" s="8"/>
      <c r="C154" s="8"/>
      <c r="D154" s="8"/>
      <c r="E154" s="8"/>
      <c r="F154" s="8"/>
      <c r="G154" s="8"/>
      <c r="H154" s="8"/>
      <c r="I154" s="8"/>
      <c r="J154" s="8"/>
      <c r="K154" s="8"/>
      <c r="L154" s="94"/>
      <c r="M154" s="8"/>
      <c r="N154" s="8"/>
      <c r="O154" s="8"/>
      <c r="P154" s="8"/>
      <c r="Q154" s="8"/>
      <c r="R154" s="8"/>
      <c r="S154" s="8"/>
      <c r="T154" s="8"/>
      <c r="U154" s="8"/>
      <c r="V154" s="8"/>
      <c r="W154" s="8"/>
      <c r="X154" s="8"/>
      <c r="Y154" s="8"/>
      <c r="Z154" s="8"/>
    </row>
    <row r="155" spans="1:26" ht="12.75" customHeight="1" x14ac:dyDescent="0.25">
      <c r="A155" s="133"/>
      <c r="B155" s="8"/>
      <c r="C155" s="8"/>
      <c r="D155" s="8"/>
      <c r="E155" s="8"/>
      <c r="F155" s="8"/>
      <c r="G155" s="8"/>
      <c r="H155" s="8"/>
      <c r="I155" s="8"/>
      <c r="J155" s="8"/>
      <c r="K155" s="8"/>
      <c r="L155" s="94"/>
      <c r="M155" s="8"/>
      <c r="N155" s="8"/>
      <c r="O155" s="8"/>
      <c r="P155" s="8"/>
      <c r="Q155" s="8"/>
      <c r="R155" s="8"/>
      <c r="S155" s="8"/>
      <c r="T155" s="8"/>
      <c r="U155" s="8"/>
      <c r="V155" s="8"/>
      <c r="W155" s="8"/>
      <c r="X155" s="8"/>
      <c r="Y155" s="8"/>
      <c r="Z155" s="8"/>
    </row>
    <row r="156" spans="1:26" ht="12.75" customHeight="1" x14ac:dyDescent="0.25">
      <c r="A156" s="133"/>
      <c r="B156" s="8"/>
      <c r="C156" s="8"/>
      <c r="D156" s="8"/>
      <c r="E156" s="8"/>
      <c r="F156" s="8"/>
      <c r="G156" s="8"/>
      <c r="H156" s="8"/>
      <c r="I156" s="8"/>
      <c r="J156" s="8"/>
      <c r="K156" s="8"/>
      <c r="L156" s="94"/>
      <c r="M156" s="8"/>
      <c r="N156" s="8"/>
      <c r="O156" s="8"/>
      <c r="P156" s="8"/>
      <c r="Q156" s="8"/>
      <c r="R156" s="8"/>
      <c r="S156" s="8"/>
      <c r="T156" s="8"/>
      <c r="U156" s="8"/>
      <c r="V156" s="8"/>
      <c r="W156" s="8"/>
      <c r="X156" s="8"/>
      <c r="Y156" s="8"/>
      <c r="Z156" s="8"/>
    </row>
    <row r="157" spans="1:26" ht="12.75" customHeight="1" x14ac:dyDescent="0.25">
      <c r="A157" s="133"/>
      <c r="B157" s="8"/>
      <c r="C157" s="8"/>
      <c r="D157" s="8"/>
      <c r="E157" s="8"/>
      <c r="F157" s="8"/>
      <c r="G157" s="8"/>
      <c r="H157" s="8"/>
      <c r="I157" s="8"/>
      <c r="J157" s="8"/>
      <c r="K157" s="8"/>
      <c r="L157" s="94"/>
      <c r="M157" s="8"/>
      <c r="N157" s="8"/>
      <c r="O157" s="8"/>
      <c r="P157" s="8"/>
      <c r="Q157" s="8"/>
      <c r="R157" s="8"/>
      <c r="S157" s="8"/>
      <c r="T157" s="8"/>
      <c r="U157" s="8"/>
      <c r="V157" s="8"/>
      <c r="W157" s="8"/>
      <c r="X157" s="8"/>
      <c r="Y157" s="8"/>
      <c r="Z157" s="8"/>
    </row>
    <row r="158" spans="1:26" ht="12.75" customHeight="1" x14ac:dyDescent="0.25">
      <c r="A158" s="133"/>
      <c r="B158" s="8"/>
      <c r="C158" s="8"/>
      <c r="D158" s="8"/>
      <c r="E158" s="8"/>
      <c r="F158" s="8"/>
      <c r="G158" s="8"/>
      <c r="H158" s="8"/>
      <c r="I158" s="8"/>
      <c r="J158" s="8"/>
      <c r="K158" s="8"/>
      <c r="L158" s="94"/>
      <c r="M158" s="8"/>
      <c r="N158" s="8"/>
      <c r="O158" s="8"/>
      <c r="P158" s="8"/>
      <c r="Q158" s="8"/>
      <c r="R158" s="8"/>
      <c r="S158" s="8"/>
      <c r="T158" s="8"/>
      <c r="U158" s="8"/>
      <c r="V158" s="8"/>
      <c r="W158" s="8"/>
      <c r="X158" s="8"/>
      <c r="Y158" s="8"/>
      <c r="Z158" s="8"/>
    </row>
    <row r="159" spans="1:26" ht="12.75" customHeight="1" x14ac:dyDescent="0.25">
      <c r="A159" s="133"/>
      <c r="B159" s="8"/>
      <c r="C159" s="8"/>
      <c r="D159" s="8"/>
      <c r="E159" s="8"/>
      <c r="F159" s="8"/>
      <c r="G159" s="8"/>
      <c r="H159" s="8"/>
      <c r="I159" s="8"/>
      <c r="J159" s="8"/>
      <c r="K159" s="8"/>
      <c r="L159" s="94"/>
      <c r="M159" s="8"/>
      <c r="N159" s="8"/>
      <c r="O159" s="8"/>
      <c r="P159" s="8"/>
      <c r="Q159" s="8"/>
      <c r="R159" s="8"/>
      <c r="S159" s="8"/>
      <c r="T159" s="8"/>
      <c r="U159" s="8"/>
      <c r="V159" s="8"/>
      <c r="W159" s="8"/>
      <c r="X159" s="8"/>
      <c r="Y159" s="8"/>
      <c r="Z159" s="8"/>
    </row>
    <row r="160" spans="1:26" ht="12.75" customHeight="1" x14ac:dyDescent="0.25">
      <c r="A160" s="133"/>
      <c r="B160" s="8"/>
      <c r="C160" s="8"/>
      <c r="D160" s="8"/>
      <c r="E160" s="8"/>
      <c r="F160" s="8"/>
      <c r="G160" s="8"/>
      <c r="H160" s="8"/>
      <c r="I160" s="8"/>
      <c r="J160" s="8"/>
      <c r="K160" s="8"/>
      <c r="L160" s="94"/>
      <c r="M160" s="8"/>
      <c r="N160" s="8"/>
      <c r="O160" s="8"/>
      <c r="P160" s="8"/>
      <c r="Q160" s="8"/>
      <c r="R160" s="8"/>
      <c r="S160" s="8"/>
      <c r="T160" s="8"/>
      <c r="U160" s="8"/>
      <c r="V160" s="8"/>
      <c r="W160" s="8"/>
      <c r="X160" s="8"/>
      <c r="Y160" s="8"/>
      <c r="Z160" s="8"/>
    </row>
    <row r="161" spans="1:26" ht="12.75" customHeight="1" x14ac:dyDescent="0.25">
      <c r="A161" s="133"/>
      <c r="B161" s="8"/>
      <c r="C161" s="8"/>
      <c r="D161" s="8"/>
      <c r="E161" s="8"/>
      <c r="F161" s="8"/>
      <c r="G161" s="8"/>
      <c r="H161" s="8"/>
      <c r="I161" s="8"/>
      <c r="J161" s="8"/>
      <c r="K161" s="8"/>
      <c r="L161" s="94"/>
      <c r="M161" s="8"/>
      <c r="N161" s="8"/>
      <c r="O161" s="8"/>
      <c r="P161" s="8"/>
      <c r="Q161" s="8"/>
      <c r="R161" s="8"/>
      <c r="S161" s="8"/>
      <c r="T161" s="8"/>
      <c r="U161" s="8"/>
      <c r="V161" s="8"/>
      <c r="W161" s="8"/>
      <c r="X161" s="8"/>
      <c r="Y161" s="8"/>
      <c r="Z161" s="8"/>
    </row>
    <row r="162" spans="1:26" ht="12.75" customHeight="1" x14ac:dyDescent="0.25">
      <c r="A162" s="133"/>
      <c r="B162" s="8"/>
      <c r="C162" s="8"/>
      <c r="D162" s="8"/>
      <c r="E162" s="8"/>
      <c r="F162" s="8"/>
      <c r="G162" s="8"/>
      <c r="H162" s="8"/>
      <c r="I162" s="8"/>
      <c r="J162" s="8"/>
      <c r="K162" s="8"/>
      <c r="L162" s="94"/>
      <c r="M162" s="8"/>
      <c r="N162" s="8"/>
      <c r="O162" s="8"/>
      <c r="P162" s="8"/>
      <c r="Q162" s="8"/>
      <c r="R162" s="8"/>
      <c r="S162" s="8"/>
      <c r="T162" s="8"/>
      <c r="U162" s="8"/>
      <c r="V162" s="8"/>
      <c r="W162" s="8"/>
      <c r="X162" s="8"/>
      <c r="Y162" s="8"/>
      <c r="Z162" s="8"/>
    </row>
    <row r="163" spans="1:26" ht="12.75" customHeight="1" x14ac:dyDescent="0.25">
      <c r="A163" s="133"/>
      <c r="B163" s="8"/>
      <c r="C163" s="8"/>
      <c r="D163" s="8"/>
      <c r="E163" s="8"/>
      <c r="F163" s="8"/>
      <c r="G163" s="8"/>
      <c r="H163" s="8"/>
      <c r="I163" s="8"/>
      <c r="J163" s="8"/>
      <c r="K163" s="8"/>
      <c r="L163" s="94"/>
      <c r="M163" s="8"/>
      <c r="N163" s="8"/>
      <c r="O163" s="8"/>
      <c r="P163" s="8"/>
      <c r="Q163" s="8"/>
      <c r="R163" s="8"/>
      <c r="S163" s="8"/>
      <c r="T163" s="8"/>
      <c r="U163" s="8"/>
      <c r="V163" s="8"/>
      <c r="W163" s="8"/>
      <c r="X163" s="8"/>
      <c r="Y163" s="8"/>
      <c r="Z163" s="8"/>
    </row>
    <row r="164" spans="1:26" ht="12.75" customHeight="1" x14ac:dyDescent="0.25">
      <c r="A164" s="133"/>
      <c r="B164" s="8"/>
      <c r="C164" s="8"/>
      <c r="D164" s="8"/>
      <c r="E164" s="8"/>
      <c r="F164" s="8"/>
      <c r="G164" s="8"/>
      <c r="H164" s="8"/>
      <c r="I164" s="8"/>
      <c r="J164" s="8"/>
      <c r="K164" s="8"/>
      <c r="L164" s="94"/>
      <c r="M164" s="8"/>
      <c r="N164" s="8"/>
      <c r="O164" s="8"/>
      <c r="P164" s="8"/>
      <c r="Q164" s="8"/>
      <c r="R164" s="8"/>
      <c r="S164" s="8"/>
      <c r="T164" s="8"/>
      <c r="U164" s="8"/>
      <c r="V164" s="8"/>
      <c r="W164" s="8"/>
      <c r="X164" s="8"/>
      <c r="Y164" s="8"/>
      <c r="Z164" s="8"/>
    </row>
    <row r="165" spans="1:26" ht="12.75" customHeight="1" x14ac:dyDescent="0.25">
      <c r="A165" s="133"/>
      <c r="B165" s="8"/>
      <c r="C165" s="8"/>
      <c r="D165" s="8"/>
      <c r="E165" s="8"/>
      <c r="F165" s="8"/>
      <c r="G165" s="8"/>
      <c r="H165" s="8"/>
      <c r="I165" s="8"/>
      <c r="J165" s="8"/>
      <c r="K165" s="8"/>
      <c r="L165" s="94"/>
      <c r="M165" s="8"/>
      <c r="N165" s="8"/>
      <c r="O165" s="8"/>
      <c r="P165" s="8"/>
      <c r="Q165" s="8"/>
      <c r="R165" s="8"/>
      <c r="S165" s="8"/>
      <c r="T165" s="8"/>
      <c r="U165" s="8"/>
      <c r="V165" s="8"/>
      <c r="W165" s="8"/>
      <c r="X165" s="8"/>
      <c r="Y165" s="8"/>
      <c r="Z165" s="8"/>
    </row>
    <row r="166" spans="1:26" ht="12.75" customHeight="1" x14ac:dyDescent="0.25">
      <c r="A166" s="133"/>
      <c r="B166" s="8"/>
      <c r="C166" s="8"/>
      <c r="D166" s="8"/>
      <c r="E166" s="8"/>
      <c r="F166" s="8"/>
      <c r="G166" s="8"/>
      <c r="H166" s="8"/>
      <c r="I166" s="8"/>
      <c r="J166" s="8"/>
      <c r="K166" s="8"/>
      <c r="L166" s="94"/>
      <c r="M166" s="8"/>
      <c r="N166" s="8"/>
      <c r="O166" s="8"/>
      <c r="P166" s="8"/>
      <c r="Q166" s="8"/>
      <c r="R166" s="8"/>
      <c r="S166" s="8"/>
      <c r="T166" s="8"/>
      <c r="U166" s="8"/>
      <c r="V166" s="8"/>
      <c r="W166" s="8"/>
      <c r="X166" s="8"/>
      <c r="Y166" s="8"/>
      <c r="Z166" s="8"/>
    </row>
    <row r="167" spans="1:26" ht="12.75" customHeight="1" x14ac:dyDescent="0.25">
      <c r="A167" s="133"/>
      <c r="B167" s="8"/>
      <c r="C167" s="8"/>
      <c r="D167" s="8"/>
      <c r="E167" s="8"/>
      <c r="F167" s="8"/>
      <c r="G167" s="8"/>
      <c r="H167" s="8"/>
      <c r="I167" s="8"/>
      <c r="J167" s="8"/>
      <c r="K167" s="8"/>
      <c r="L167" s="94"/>
      <c r="M167" s="8"/>
      <c r="N167" s="8"/>
      <c r="O167" s="8"/>
      <c r="P167" s="8"/>
      <c r="Q167" s="8"/>
      <c r="R167" s="8"/>
      <c r="S167" s="8"/>
      <c r="T167" s="8"/>
      <c r="U167" s="8"/>
      <c r="V167" s="8"/>
      <c r="W167" s="8"/>
      <c r="X167" s="8"/>
      <c r="Y167" s="8"/>
      <c r="Z167" s="8"/>
    </row>
    <row r="168" spans="1:26" ht="12.75" customHeight="1" x14ac:dyDescent="0.25">
      <c r="A168" s="133"/>
      <c r="B168" s="8"/>
      <c r="C168" s="8"/>
      <c r="D168" s="8"/>
      <c r="E168" s="8"/>
      <c r="F168" s="8"/>
      <c r="G168" s="8"/>
      <c r="H168" s="8"/>
      <c r="I168" s="8"/>
      <c r="J168" s="8"/>
      <c r="K168" s="8"/>
      <c r="L168" s="94"/>
      <c r="M168" s="8"/>
      <c r="N168" s="8"/>
      <c r="O168" s="8"/>
      <c r="P168" s="8"/>
      <c r="Q168" s="8"/>
      <c r="R168" s="8"/>
      <c r="S168" s="8"/>
      <c r="T168" s="8"/>
      <c r="U168" s="8"/>
      <c r="V168" s="8"/>
      <c r="W168" s="8"/>
      <c r="X168" s="8"/>
      <c r="Y168" s="8"/>
      <c r="Z168" s="8"/>
    </row>
    <row r="169" spans="1:26" ht="12.75" customHeight="1" x14ac:dyDescent="0.25">
      <c r="A169" s="133"/>
      <c r="B169" s="8"/>
      <c r="C169" s="8"/>
      <c r="D169" s="8"/>
      <c r="E169" s="8"/>
      <c r="F169" s="8"/>
      <c r="G169" s="8"/>
      <c r="H169" s="8"/>
      <c r="I169" s="8"/>
      <c r="J169" s="8"/>
      <c r="K169" s="8"/>
      <c r="L169" s="94"/>
      <c r="M169" s="8"/>
      <c r="N169" s="8"/>
      <c r="O169" s="8"/>
      <c r="P169" s="8"/>
      <c r="Q169" s="8"/>
      <c r="R169" s="8"/>
      <c r="S169" s="8"/>
      <c r="T169" s="8"/>
      <c r="U169" s="8"/>
      <c r="V169" s="8"/>
      <c r="W169" s="8"/>
      <c r="X169" s="8"/>
      <c r="Y169" s="8"/>
      <c r="Z169" s="8"/>
    </row>
    <row r="170" spans="1:26" ht="12.75" customHeight="1" x14ac:dyDescent="0.25">
      <c r="A170" s="133"/>
      <c r="B170" s="8"/>
      <c r="C170" s="8"/>
      <c r="D170" s="8"/>
      <c r="E170" s="8"/>
      <c r="F170" s="8"/>
      <c r="G170" s="8"/>
      <c r="H170" s="8"/>
      <c r="I170" s="8"/>
      <c r="J170" s="8"/>
      <c r="K170" s="8"/>
      <c r="L170" s="94"/>
      <c r="M170" s="8"/>
      <c r="N170" s="8"/>
      <c r="O170" s="8"/>
      <c r="P170" s="8"/>
      <c r="Q170" s="8"/>
      <c r="R170" s="8"/>
      <c r="S170" s="8"/>
      <c r="T170" s="8"/>
      <c r="U170" s="8"/>
      <c r="V170" s="8"/>
      <c r="W170" s="8"/>
      <c r="X170" s="8"/>
      <c r="Y170" s="8"/>
      <c r="Z170" s="8"/>
    </row>
    <row r="171" spans="1:26" ht="12.75" customHeight="1" x14ac:dyDescent="0.25">
      <c r="A171" s="133"/>
      <c r="B171" s="8"/>
      <c r="C171" s="8"/>
      <c r="D171" s="8"/>
      <c r="E171" s="8"/>
      <c r="F171" s="8"/>
      <c r="G171" s="8"/>
      <c r="H171" s="8"/>
      <c r="I171" s="8"/>
      <c r="J171" s="8"/>
      <c r="K171" s="8"/>
      <c r="L171" s="94"/>
      <c r="M171" s="8"/>
      <c r="N171" s="8"/>
      <c r="O171" s="8"/>
      <c r="P171" s="8"/>
      <c r="Q171" s="8"/>
      <c r="R171" s="8"/>
      <c r="S171" s="8"/>
      <c r="T171" s="8"/>
      <c r="U171" s="8"/>
      <c r="V171" s="8"/>
      <c r="W171" s="8"/>
      <c r="X171" s="8"/>
      <c r="Y171" s="8"/>
      <c r="Z171" s="8"/>
    </row>
    <row r="172" spans="1:26" ht="12.75" customHeight="1" x14ac:dyDescent="0.25">
      <c r="A172" s="133"/>
      <c r="B172" s="8"/>
      <c r="C172" s="8"/>
      <c r="D172" s="8"/>
      <c r="E172" s="8"/>
      <c r="F172" s="8"/>
      <c r="G172" s="8"/>
      <c r="H172" s="8"/>
      <c r="I172" s="8"/>
      <c r="J172" s="8"/>
      <c r="K172" s="8"/>
      <c r="L172" s="94"/>
      <c r="M172" s="8"/>
      <c r="N172" s="8"/>
      <c r="O172" s="8"/>
      <c r="P172" s="8"/>
      <c r="Q172" s="8"/>
      <c r="R172" s="8"/>
      <c r="S172" s="8"/>
      <c r="T172" s="8"/>
      <c r="U172" s="8"/>
      <c r="V172" s="8"/>
      <c r="W172" s="8"/>
      <c r="X172" s="8"/>
      <c r="Y172" s="8"/>
      <c r="Z172" s="8"/>
    </row>
    <row r="173" spans="1:26" ht="12.75" customHeight="1" x14ac:dyDescent="0.25">
      <c r="A173" s="133"/>
      <c r="B173" s="8"/>
      <c r="C173" s="8"/>
      <c r="D173" s="8"/>
      <c r="E173" s="8"/>
      <c r="F173" s="8"/>
      <c r="G173" s="8"/>
      <c r="H173" s="8"/>
      <c r="I173" s="8"/>
      <c r="J173" s="8"/>
      <c r="K173" s="8"/>
      <c r="L173" s="94"/>
      <c r="M173" s="8"/>
      <c r="N173" s="8"/>
      <c r="O173" s="8"/>
      <c r="P173" s="8"/>
      <c r="Q173" s="8"/>
      <c r="R173" s="8"/>
      <c r="S173" s="8"/>
      <c r="T173" s="8"/>
      <c r="U173" s="8"/>
      <c r="V173" s="8"/>
      <c r="W173" s="8"/>
      <c r="X173" s="8"/>
      <c r="Y173" s="8"/>
      <c r="Z173" s="8"/>
    </row>
    <row r="174" spans="1:26" ht="12.75" customHeight="1" x14ac:dyDescent="0.25">
      <c r="A174" s="133"/>
      <c r="B174" s="8"/>
      <c r="C174" s="8"/>
      <c r="D174" s="8"/>
      <c r="E174" s="8"/>
      <c r="F174" s="8"/>
      <c r="G174" s="8"/>
      <c r="H174" s="8"/>
      <c r="I174" s="8"/>
      <c r="J174" s="8"/>
      <c r="K174" s="8"/>
      <c r="L174" s="94"/>
      <c r="M174" s="8"/>
      <c r="N174" s="8"/>
      <c r="O174" s="8"/>
      <c r="P174" s="8"/>
      <c r="Q174" s="8"/>
      <c r="R174" s="8"/>
      <c r="S174" s="8"/>
      <c r="T174" s="8"/>
      <c r="U174" s="8"/>
      <c r="V174" s="8"/>
      <c r="W174" s="8"/>
      <c r="X174" s="8"/>
      <c r="Y174" s="8"/>
      <c r="Z174" s="8"/>
    </row>
    <row r="175" spans="1:26" ht="12.75" customHeight="1" x14ac:dyDescent="0.25">
      <c r="A175" s="133"/>
      <c r="B175" s="8"/>
      <c r="C175" s="8"/>
      <c r="D175" s="8"/>
      <c r="E175" s="8"/>
      <c r="F175" s="8"/>
      <c r="G175" s="8"/>
      <c r="H175" s="8"/>
      <c r="I175" s="8"/>
      <c r="J175" s="8"/>
      <c r="K175" s="8"/>
      <c r="L175" s="94"/>
      <c r="M175" s="8"/>
      <c r="N175" s="8"/>
      <c r="O175" s="8"/>
      <c r="P175" s="8"/>
      <c r="Q175" s="8"/>
      <c r="R175" s="8"/>
      <c r="S175" s="8"/>
      <c r="T175" s="8"/>
      <c r="U175" s="8"/>
      <c r="V175" s="8"/>
      <c r="W175" s="8"/>
      <c r="X175" s="8"/>
      <c r="Y175" s="8"/>
      <c r="Z175" s="8"/>
    </row>
    <row r="176" spans="1:26" ht="12.75" customHeight="1" x14ac:dyDescent="0.25">
      <c r="A176" s="133"/>
      <c r="B176" s="8"/>
      <c r="C176" s="8"/>
      <c r="D176" s="8"/>
      <c r="E176" s="8"/>
      <c r="F176" s="8"/>
      <c r="G176" s="8"/>
      <c r="H176" s="8"/>
      <c r="I176" s="8"/>
      <c r="J176" s="8"/>
      <c r="K176" s="8"/>
      <c r="L176" s="94"/>
      <c r="M176" s="8"/>
      <c r="N176" s="8"/>
      <c r="O176" s="8"/>
      <c r="P176" s="8"/>
      <c r="Q176" s="8"/>
      <c r="R176" s="8"/>
      <c r="S176" s="8"/>
      <c r="T176" s="8"/>
      <c r="U176" s="8"/>
      <c r="V176" s="8"/>
      <c r="W176" s="8"/>
      <c r="X176" s="8"/>
      <c r="Y176" s="8"/>
      <c r="Z176" s="8"/>
    </row>
    <row r="177" spans="1:26" ht="12.75" customHeight="1" x14ac:dyDescent="0.25">
      <c r="A177" s="133"/>
      <c r="B177" s="8"/>
      <c r="C177" s="8"/>
      <c r="D177" s="8"/>
      <c r="E177" s="8"/>
      <c r="F177" s="8"/>
      <c r="G177" s="8"/>
      <c r="H177" s="8"/>
      <c r="I177" s="8"/>
      <c r="J177" s="8"/>
      <c r="K177" s="8"/>
      <c r="L177" s="94"/>
      <c r="M177" s="8"/>
      <c r="N177" s="8"/>
      <c r="O177" s="8"/>
      <c r="P177" s="8"/>
      <c r="Q177" s="8"/>
      <c r="R177" s="8"/>
      <c r="S177" s="8"/>
      <c r="T177" s="8"/>
      <c r="U177" s="8"/>
      <c r="V177" s="8"/>
      <c r="W177" s="8"/>
      <c r="X177" s="8"/>
      <c r="Y177" s="8"/>
      <c r="Z177" s="8"/>
    </row>
    <row r="178" spans="1:26" ht="12.75" customHeight="1" x14ac:dyDescent="0.25">
      <c r="A178" s="133"/>
      <c r="B178" s="8"/>
      <c r="C178" s="8"/>
      <c r="D178" s="8"/>
      <c r="E178" s="8"/>
      <c r="F178" s="8"/>
      <c r="G178" s="8"/>
      <c r="H178" s="8"/>
      <c r="I178" s="8"/>
      <c r="J178" s="8"/>
      <c r="K178" s="8"/>
      <c r="L178" s="94"/>
      <c r="M178" s="8"/>
      <c r="N178" s="8"/>
      <c r="O178" s="8"/>
      <c r="P178" s="8"/>
      <c r="Q178" s="8"/>
      <c r="R178" s="8"/>
      <c r="S178" s="8"/>
      <c r="T178" s="8"/>
      <c r="U178" s="8"/>
      <c r="V178" s="8"/>
      <c r="W178" s="8"/>
      <c r="X178" s="8"/>
      <c r="Y178" s="8"/>
      <c r="Z178" s="8"/>
    </row>
    <row r="179" spans="1:26" ht="12.75" customHeight="1" x14ac:dyDescent="0.25">
      <c r="A179" s="133"/>
      <c r="B179" s="8"/>
      <c r="C179" s="8"/>
      <c r="D179" s="8"/>
      <c r="E179" s="8"/>
      <c r="F179" s="8"/>
      <c r="G179" s="8"/>
      <c r="H179" s="8"/>
      <c r="I179" s="8"/>
      <c r="J179" s="8"/>
      <c r="K179" s="8"/>
      <c r="L179" s="94"/>
      <c r="M179" s="8"/>
      <c r="N179" s="8"/>
      <c r="O179" s="8"/>
      <c r="P179" s="8"/>
      <c r="Q179" s="8"/>
      <c r="R179" s="8"/>
      <c r="S179" s="8"/>
      <c r="T179" s="8"/>
      <c r="U179" s="8"/>
      <c r="V179" s="8"/>
      <c r="W179" s="8"/>
      <c r="X179" s="8"/>
      <c r="Y179" s="8"/>
      <c r="Z179" s="8"/>
    </row>
    <row r="180" spans="1:26" ht="12.75" customHeight="1" x14ac:dyDescent="0.25">
      <c r="A180" s="133"/>
      <c r="B180" s="8"/>
      <c r="C180" s="8"/>
      <c r="D180" s="8"/>
      <c r="E180" s="8"/>
      <c r="F180" s="8"/>
      <c r="G180" s="8"/>
      <c r="H180" s="8"/>
      <c r="I180" s="8"/>
      <c r="J180" s="8"/>
      <c r="K180" s="8"/>
      <c r="L180" s="94"/>
      <c r="M180" s="8"/>
      <c r="N180" s="8"/>
      <c r="O180" s="8"/>
      <c r="P180" s="8"/>
      <c r="Q180" s="8"/>
      <c r="R180" s="8"/>
      <c r="S180" s="8"/>
      <c r="T180" s="8"/>
      <c r="U180" s="8"/>
      <c r="V180" s="8"/>
      <c r="W180" s="8"/>
      <c r="X180" s="8"/>
      <c r="Y180" s="8"/>
      <c r="Z180" s="8"/>
    </row>
    <row r="181" spans="1:26" ht="12.75" customHeight="1" x14ac:dyDescent="0.25">
      <c r="A181" s="133"/>
      <c r="B181" s="8"/>
      <c r="C181" s="8"/>
      <c r="D181" s="8"/>
      <c r="E181" s="8"/>
      <c r="F181" s="8"/>
      <c r="G181" s="8"/>
      <c r="H181" s="8"/>
      <c r="I181" s="8"/>
      <c r="J181" s="8"/>
      <c r="K181" s="8"/>
      <c r="L181" s="94"/>
      <c r="M181" s="8"/>
      <c r="N181" s="8"/>
      <c r="O181" s="8"/>
      <c r="P181" s="8"/>
      <c r="Q181" s="8"/>
      <c r="R181" s="8"/>
      <c r="S181" s="8"/>
      <c r="T181" s="8"/>
      <c r="U181" s="8"/>
      <c r="V181" s="8"/>
      <c r="W181" s="8"/>
      <c r="X181" s="8"/>
      <c r="Y181" s="8"/>
      <c r="Z181" s="8"/>
    </row>
    <row r="182" spans="1:26" ht="12.75" customHeight="1" x14ac:dyDescent="0.25">
      <c r="A182" s="133"/>
      <c r="B182" s="8"/>
      <c r="C182" s="8"/>
      <c r="D182" s="8"/>
      <c r="E182" s="8"/>
      <c r="F182" s="8"/>
      <c r="G182" s="8"/>
      <c r="H182" s="8"/>
      <c r="I182" s="8"/>
      <c r="J182" s="8"/>
      <c r="K182" s="8"/>
      <c r="L182" s="94"/>
      <c r="M182" s="8"/>
      <c r="N182" s="8"/>
      <c r="O182" s="8"/>
      <c r="P182" s="8"/>
      <c r="Q182" s="8"/>
      <c r="R182" s="8"/>
      <c r="S182" s="8"/>
      <c r="T182" s="8"/>
      <c r="U182" s="8"/>
      <c r="V182" s="8"/>
      <c r="W182" s="8"/>
      <c r="X182" s="8"/>
      <c r="Y182" s="8"/>
      <c r="Z182" s="8"/>
    </row>
    <row r="183" spans="1:26" ht="12.75" customHeight="1" x14ac:dyDescent="0.25">
      <c r="A183" s="133"/>
      <c r="B183" s="8"/>
      <c r="C183" s="8"/>
      <c r="D183" s="8"/>
      <c r="E183" s="8"/>
      <c r="F183" s="8"/>
      <c r="G183" s="8"/>
      <c r="H183" s="8"/>
      <c r="I183" s="8"/>
      <c r="J183" s="8"/>
      <c r="K183" s="8"/>
      <c r="L183" s="94"/>
      <c r="M183" s="8"/>
      <c r="N183" s="8"/>
      <c r="O183" s="8"/>
      <c r="P183" s="8"/>
      <c r="Q183" s="8"/>
      <c r="R183" s="8"/>
      <c r="S183" s="8"/>
      <c r="T183" s="8"/>
      <c r="U183" s="8"/>
      <c r="V183" s="8"/>
      <c r="W183" s="8"/>
      <c r="X183" s="8"/>
      <c r="Y183" s="8"/>
      <c r="Z183" s="8"/>
    </row>
    <row r="184" spans="1:26" ht="12.75" customHeight="1" x14ac:dyDescent="0.25">
      <c r="A184" s="133"/>
      <c r="B184" s="8"/>
      <c r="C184" s="8"/>
      <c r="D184" s="8"/>
      <c r="E184" s="8"/>
      <c r="F184" s="8"/>
      <c r="G184" s="8"/>
      <c r="H184" s="8"/>
      <c r="I184" s="8"/>
      <c r="J184" s="8"/>
      <c r="K184" s="8"/>
      <c r="L184" s="94"/>
      <c r="M184" s="8"/>
      <c r="N184" s="8"/>
      <c r="O184" s="8"/>
      <c r="P184" s="8"/>
      <c r="Q184" s="8"/>
      <c r="R184" s="8"/>
      <c r="S184" s="8"/>
      <c r="T184" s="8"/>
      <c r="U184" s="8"/>
      <c r="V184" s="8"/>
      <c r="W184" s="8"/>
      <c r="X184" s="8"/>
      <c r="Y184" s="8"/>
      <c r="Z184" s="8"/>
    </row>
    <row r="185" spans="1:26" ht="12.75" customHeight="1" x14ac:dyDescent="0.25">
      <c r="A185" s="133"/>
      <c r="B185" s="8"/>
      <c r="C185" s="8"/>
      <c r="D185" s="8"/>
      <c r="E185" s="8"/>
      <c r="F185" s="8"/>
      <c r="G185" s="8"/>
      <c r="H185" s="8"/>
      <c r="I185" s="8"/>
      <c r="J185" s="8"/>
      <c r="K185" s="8"/>
      <c r="L185" s="94"/>
      <c r="M185" s="8"/>
      <c r="N185" s="8"/>
      <c r="O185" s="8"/>
      <c r="P185" s="8"/>
      <c r="Q185" s="8"/>
      <c r="R185" s="8"/>
      <c r="S185" s="8"/>
      <c r="T185" s="8"/>
      <c r="U185" s="8"/>
      <c r="V185" s="8"/>
      <c r="W185" s="8"/>
      <c r="X185" s="8"/>
      <c r="Y185" s="8"/>
      <c r="Z185" s="8"/>
    </row>
    <row r="186" spans="1:26" ht="12.75" customHeight="1" x14ac:dyDescent="0.25">
      <c r="A186" s="133"/>
      <c r="B186" s="8"/>
      <c r="C186" s="8"/>
      <c r="D186" s="8"/>
      <c r="E186" s="8"/>
      <c r="F186" s="8"/>
      <c r="G186" s="8"/>
      <c r="H186" s="8"/>
      <c r="I186" s="8"/>
      <c r="J186" s="8"/>
      <c r="K186" s="8"/>
      <c r="L186" s="94"/>
      <c r="M186" s="8"/>
      <c r="N186" s="8"/>
      <c r="O186" s="8"/>
      <c r="P186" s="8"/>
      <c r="Q186" s="8"/>
      <c r="R186" s="8"/>
      <c r="S186" s="8"/>
      <c r="T186" s="8"/>
      <c r="U186" s="8"/>
      <c r="V186" s="8"/>
      <c r="W186" s="8"/>
      <c r="X186" s="8"/>
      <c r="Y186" s="8"/>
      <c r="Z186" s="8"/>
    </row>
    <row r="187" spans="1:26" ht="12.75" customHeight="1" x14ac:dyDescent="0.25">
      <c r="A187" s="133"/>
      <c r="B187" s="8"/>
      <c r="C187" s="8"/>
      <c r="D187" s="8"/>
      <c r="E187" s="8"/>
      <c r="F187" s="8"/>
      <c r="G187" s="8"/>
      <c r="H187" s="8"/>
      <c r="I187" s="8"/>
      <c r="J187" s="8"/>
      <c r="K187" s="8"/>
      <c r="L187" s="94"/>
      <c r="M187" s="8"/>
      <c r="N187" s="8"/>
      <c r="O187" s="8"/>
      <c r="P187" s="8"/>
      <c r="Q187" s="8"/>
      <c r="R187" s="8"/>
      <c r="S187" s="8"/>
      <c r="T187" s="8"/>
      <c r="U187" s="8"/>
      <c r="V187" s="8"/>
      <c r="W187" s="8"/>
      <c r="X187" s="8"/>
      <c r="Y187" s="8"/>
      <c r="Z187" s="8"/>
    </row>
    <row r="188" spans="1:26" ht="12.75" customHeight="1" x14ac:dyDescent="0.25">
      <c r="A188" s="133"/>
      <c r="B188" s="8"/>
      <c r="C188" s="8"/>
      <c r="D188" s="8"/>
      <c r="E188" s="8"/>
      <c r="F188" s="8"/>
      <c r="G188" s="8"/>
      <c r="H188" s="8"/>
      <c r="I188" s="8"/>
      <c r="J188" s="8"/>
      <c r="K188" s="8"/>
      <c r="L188" s="94"/>
      <c r="M188" s="8"/>
      <c r="N188" s="8"/>
      <c r="O188" s="8"/>
      <c r="P188" s="8"/>
      <c r="Q188" s="8"/>
      <c r="R188" s="8"/>
      <c r="S188" s="8"/>
      <c r="T188" s="8"/>
      <c r="U188" s="8"/>
      <c r="V188" s="8"/>
      <c r="W188" s="8"/>
      <c r="X188" s="8"/>
      <c r="Y188" s="8"/>
      <c r="Z188" s="8"/>
    </row>
    <row r="189" spans="1:26" ht="12.75" customHeight="1" x14ac:dyDescent="0.25">
      <c r="A189" s="133"/>
      <c r="B189" s="8"/>
      <c r="C189" s="8"/>
      <c r="D189" s="8"/>
      <c r="E189" s="8"/>
      <c r="F189" s="8"/>
      <c r="G189" s="8"/>
      <c r="H189" s="8"/>
      <c r="I189" s="8"/>
      <c r="J189" s="8"/>
      <c r="K189" s="8"/>
      <c r="L189" s="94"/>
      <c r="M189" s="8"/>
      <c r="N189" s="8"/>
      <c r="O189" s="8"/>
      <c r="P189" s="8"/>
      <c r="Q189" s="8"/>
      <c r="R189" s="8"/>
      <c r="S189" s="8"/>
      <c r="T189" s="8"/>
      <c r="U189" s="8"/>
      <c r="V189" s="8"/>
      <c r="W189" s="8"/>
      <c r="X189" s="8"/>
      <c r="Y189" s="8"/>
      <c r="Z189" s="8"/>
    </row>
    <row r="190" spans="1:26" ht="12.75" customHeight="1" x14ac:dyDescent="0.25">
      <c r="A190" s="133"/>
      <c r="B190" s="8"/>
      <c r="C190" s="8"/>
      <c r="D190" s="8"/>
      <c r="E190" s="8"/>
      <c r="F190" s="8"/>
      <c r="G190" s="8"/>
      <c r="H190" s="8"/>
      <c r="I190" s="8"/>
      <c r="J190" s="8"/>
      <c r="K190" s="8"/>
      <c r="L190" s="94"/>
      <c r="M190" s="8"/>
      <c r="N190" s="8"/>
      <c r="O190" s="8"/>
      <c r="P190" s="8"/>
      <c r="Q190" s="8"/>
      <c r="R190" s="8"/>
      <c r="S190" s="8"/>
      <c r="T190" s="8"/>
      <c r="U190" s="8"/>
      <c r="V190" s="8"/>
      <c r="W190" s="8"/>
      <c r="X190" s="8"/>
      <c r="Y190" s="8"/>
      <c r="Z190" s="8"/>
    </row>
    <row r="191" spans="1:26" ht="12.75" customHeight="1" x14ac:dyDescent="0.25">
      <c r="A191" s="133"/>
      <c r="B191" s="8"/>
      <c r="C191" s="8"/>
      <c r="D191" s="8"/>
      <c r="E191" s="8"/>
      <c r="F191" s="8"/>
      <c r="G191" s="8"/>
      <c r="H191" s="8"/>
      <c r="I191" s="8"/>
      <c r="J191" s="8"/>
      <c r="K191" s="8"/>
      <c r="L191" s="94"/>
      <c r="M191" s="8"/>
      <c r="N191" s="8"/>
      <c r="O191" s="8"/>
      <c r="P191" s="8"/>
      <c r="Q191" s="8"/>
      <c r="R191" s="8"/>
      <c r="S191" s="8"/>
      <c r="T191" s="8"/>
      <c r="U191" s="8"/>
      <c r="V191" s="8"/>
      <c r="W191" s="8"/>
      <c r="X191" s="8"/>
      <c r="Y191" s="8"/>
      <c r="Z191" s="8"/>
    </row>
    <row r="192" spans="1:26" ht="12.75" customHeight="1" x14ac:dyDescent="0.25">
      <c r="A192" s="133"/>
      <c r="B192" s="8"/>
      <c r="C192" s="8"/>
      <c r="D192" s="8"/>
      <c r="E192" s="8"/>
      <c r="F192" s="8"/>
      <c r="G192" s="8"/>
      <c r="H192" s="8"/>
      <c r="I192" s="8"/>
      <c r="J192" s="8"/>
      <c r="K192" s="8"/>
      <c r="L192" s="94"/>
      <c r="M192" s="8"/>
      <c r="N192" s="8"/>
      <c r="O192" s="8"/>
      <c r="P192" s="8"/>
      <c r="Q192" s="8"/>
      <c r="R192" s="8"/>
      <c r="S192" s="8"/>
      <c r="T192" s="8"/>
      <c r="U192" s="8"/>
      <c r="V192" s="8"/>
      <c r="W192" s="8"/>
      <c r="X192" s="8"/>
      <c r="Y192" s="8"/>
      <c r="Z192" s="8"/>
    </row>
    <row r="193" spans="1:26" ht="12.75" customHeight="1" x14ac:dyDescent="0.25">
      <c r="A193" s="133"/>
      <c r="B193" s="8"/>
      <c r="C193" s="8"/>
      <c r="D193" s="8"/>
      <c r="E193" s="8"/>
      <c r="F193" s="8"/>
      <c r="G193" s="8"/>
      <c r="H193" s="8"/>
      <c r="I193" s="8"/>
      <c r="J193" s="8"/>
      <c r="K193" s="8"/>
      <c r="L193" s="94"/>
      <c r="M193" s="8"/>
      <c r="N193" s="8"/>
      <c r="O193" s="8"/>
      <c r="P193" s="8"/>
      <c r="Q193" s="8"/>
      <c r="R193" s="8"/>
      <c r="S193" s="8"/>
      <c r="T193" s="8"/>
      <c r="U193" s="8"/>
      <c r="V193" s="8"/>
      <c r="W193" s="8"/>
      <c r="X193" s="8"/>
      <c r="Y193" s="8"/>
      <c r="Z193" s="8"/>
    </row>
    <row r="194" spans="1:26" ht="12.75" customHeight="1" x14ac:dyDescent="0.25">
      <c r="A194" s="133"/>
      <c r="B194" s="8"/>
      <c r="C194" s="8"/>
      <c r="D194" s="8"/>
      <c r="E194" s="8"/>
      <c r="F194" s="8"/>
      <c r="G194" s="8"/>
      <c r="H194" s="8"/>
      <c r="I194" s="8"/>
      <c r="J194" s="8"/>
      <c r="K194" s="8"/>
      <c r="L194" s="94"/>
      <c r="M194" s="8"/>
      <c r="N194" s="8"/>
      <c r="O194" s="8"/>
      <c r="P194" s="8"/>
      <c r="Q194" s="8"/>
      <c r="R194" s="8"/>
      <c r="S194" s="8"/>
      <c r="T194" s="8"/>
      <c r="U194" s="8"/>
      <c r="V194" s="8"/>
      <c r="W194" s="8"/>
      <c r="X194" s="8"/>
      <c r="Y194" s="8"/>
      <c r="Z194" s="8"/>
    </row>
    <row r="195" spans="1:26" ht="12.75" customHeight="1" x14ac:dyDescent="0.25">
      <c r="A195" s="133"/>
      <c r="B195" s="8"/>
      <c r="C195" s="8"/>
      <c r="D195" s="8"/>
      <c r="E195" s="8"/>
      <c r="F195" s="8"/>
      <c r="G195" s="8"/>
      <c r="H195" s="8"/>
      <c r="I195" s="8"/>
      <c r="J195" s="8"/>
      <c r="K195" s="8"/>
      <c r="L195" s="94"/>
      <c r="M195" s="8"/>
      <c r="N195" s="8"/>
      <c r="O195" s="8"/>
      <c r="P195" s="8"/>
      <c r="Q195" s="8"/>
      <c r="R195" s="8"/>
      <c r="S195" s="8"/>
      <c r="T195" s="8"/>
      <c r="U195" s="8"/>
      <c r="V195" s="8"/>
      <c r="W195" s="8"/>
      <c r="X195" s="8"/>
      <c r="Y195" s="8"/>
      <c r="Z195" s="8"/>
    </row>
    <row r="196" spans="1:26" ht="12.75" customHeight="1" x14ac:dyDescent="0.25">
      <c r="A196" s="133"/>
      <c r="B196" s="8"/>
      <c r="C196" s="8"/>
      <c r="D196" s="8"/>
      <c r="E196" s="8"/>
      <c r="F196" s="8"/>
      <c r="G196" s="8"/>
      <c r="H196" s="8"/>
      <c r="I196" s="8"/>
      <c r="J196" s="8"/>
      <c r="K196" s="8"/>
      <c r="L196" s="94"/>
      <c r="M196" s="8"/>
      <c r="N196" s="8"/>
      <c r="O196" s="8"/>
      <c r="P196" s="8"/>
      <c r="Q196" s="8"/>
      <c r="R196" s="8"/>
      <c r="S196" s="8"/>
      <c r="T196" s="8"/>
      <c r="U196" s="8"/>
      <c r="V196" s="8"/>
      <c r="W196" s="8"/>
      <c r="X196" s="8"/>
      <c r="Y196" s="8"/>
      <c r="Z196" s="8"/>
    </row>
    <row r="197" spans="1:26" ht="12.75" customHeight="1" x14ac:dyDescent="0.25">
      <c r="A197" s="133"/>
      <c r="B197" s="8"/>
      <c r="C197" s="8"/>
      <c r="D197" s="8"/>
      <c r="E197" s="8"/>
      <c r="F197" s="8"/>
      <c r="G197" s="8"/>
      <c r="H197" s="8"/>
      <c r="I197" s="8"/>
      <c r="J197" s="8"/>
      <c r="K197" s="8"/>
      <c r="L197" s="94"/>
      <c r="M197" s="8"/>
      <c r="N197" s="8"/>
      <c r="O197" s="8"/>
      <c r="P197" s="8"/>
      <c r="Q197" s="8"/>
      <c r="R197" s="8"/>
      <c r="S197" s="8"/>
      <c r="T197" s="8"/>
      <c r="U197" s="8"/>
      <c r="V197" s="8"/>
      <c r="W197" s="8"/>
      <c r="X197" s="8"/>
      <c r="Y197" s="8"/>
      <c r="Z197" s="8"/>
    </row>
    <row r="198" spans="1:26" ht="12.75" customHeight="1" x14ac:dyDescent="0.25">
      <c r="A198" s="133"/>
      <c r="B198" s="8"/>
      <c r="C198" s="8"/>
      <c r="D198" s="8"/>
      <c r="E198" s="8"/>
      <c r="F198" s="8"/>
      <c r="G198" s="8"/>
      <c r="H198" s="8"/>
      <c r="I198" s="8"/>
      <c r="J198" s="8"/>
      <c r="K198" s="8"/>
      <c r="L198" s="94"/>
      <c r="M198" s="8"/>
      <c r="N198" s="8"/>
      <c r="O198" s="8"/>
      <c r="P198" s="8"/>
      <c r="Q198" s="8"/>
      <c r="R198" s="8"/>
      <c r="S198" s="8"/>
      <c r="T198" s="8"/>
      <c r="U198" s="8"/>
      <c r="V198" s="8"/>
      <c r="W198" s="8"/>
      <c r="X198" s="8"/>
      <c r="Y198" s="8"/>
      <c r="Z198" s="8"/>
    </row>
    <row r="199" spans="1:26" ht="12.75" customHeight="1" x14ac:dyDescent="0.25">
      <c r="A199" s="133"/>
      <c r="B199" s="8"/>
      <c r="C199" s="8"/>
      <c r="D199" s="8"/>
      <c r="E199" s="8"/>
      <c r="F199" s="8"/>
      <c r="G199" s="8"/>
      <c r="H199" s="8"/>
      <c r="I199" s="8"/>
      <c r="J199" s="8"/>
      <c r="K199" s="8"/>
      <c r="L199" s="94"/>
      <c r="M199" s="8"/>
      <c r="N199" s="8"/>
      <c r="O199" s="8"/>
      <c r="P199" s="8"/>
      <c r="Q199" s="8"/>
      <c r="R199" s="8"/>
      <c r="S199" s="8"/>
      <c r="T199" s="8"/>
      <c r="U199" s="8"/>
      <c r="V199" s="8"/>
      <c r="W199" s="8"/>
      <c r="X199" s="8"/>
      <c r="Y199" s="8"/>
      <c r="Z199" s="8"/>
    </row>
    <row r="200" spans="1:26" ht="12.75" customHeight="1" x14ac:dyDescent="0.25">
      <c r="A200" s="133"/>
      <c r="B200" s="8"/>
      <c r="C200" s="8"/>
      <c r="D200" s="8"/>
      <c r="E200" s="8"/>
      <c r="F200" s="8"/>
      <c r="G200" s="8"/>
      <c r="H200" s="8"/>
      <c r="I200" s="8"/>
      <c r="J200" s="8"/>
      <c r="K200" s="8"/>
      <c r="L200" s="94"/>
      <c r="M200" s="8"/>
      <c r="N200" s="8"/>
      <c r="O200" s="8"/>
      <c r="P200" s="8"/>
      <c r="Q200" s="8"/>
      <c r="R200" s="8"/>
      <c r="S200" s="8"/>
      <c r="T200" s="8"/>
      <c r="U200" s="8"/>
      <c r="V200" s="8"/>
      <c r="W200" s="8"/>
      <c r="X200" s="8"/>
      <c r="Y200" s="8"/>
      <c r="Z200" s="8"/>
    </row>
    <row r="201" spans="1:26" ht="12.75" customHeight="1" x14ac:dyDescent="0.25">
      <c r="A201" s="133"/>
      <c r="B201" s="8"/>
      <c r="C201" s="8"/>
      <c r="D201" s="8"/>
      <c r="E201" s="8"/>
      <c r="F201" s="8"/>
      <c r="G201" s="8"/>
      <c r="H201" s="8"/>
      <c r="I201" s="8"/>
      <c r="J201" s="8"/>
      <c r="K201" s="8"/>
      <c r="L201" s="94"/>
      <c r="M201" s="8"/>
      <c r="N201" s="8"/>
      <c r="O201" s="8"/>
      <c r="P201" s="8"/>
      <c r="Q201" s="8"/>
      <c r="R201" s="8"/>
      <c r="S201" s="8"/>
      <c r="T201" s="8"/>
      <c r="U201" s="8"/>
      <c r="V201" s="8"/>
      <c r="W201" s="8"/>
      <c r="X201" s="8"/>
      <c r="Y201" s="8"/>
      <c r="Z201" s="8"/>
    </row>
    <row r="202" spans="1:26" ht="12.75" customHeight="1" x14ac:dyDescent="0.25">
      <c r="A202" s="133"/>
      <c r="B202" s="8"/>
      <c r="C202" s="8"/>
      <c r="D202" s="8"/>
      <c r="E202" s="8"/>
      <c r="F202" s="8"/>
      <c r="G202" s="8"/>
      <c r="H202" s="8"/>
      <c r="I202" s="8"/>
      <c r="J202" s="8"/>
      <c r="K202" s="8"/>
      <c r="L202" s="94"/>
      <c r="M202" s="8"/>
      <c r="N202" s="8"/>
      <c r="O202" s="8"/>
      <c r="P202" s="8"/>
      <c r="Q202" s="8"/>
      <c r="R202" s="8"/>
      <c r="S202" s="8"/>
      <c r="T202" s="8"/>
      <c r="U202" s="8"/>
      <c r="V202" s="8"/>
      <c r="W202" s="8"/>
      <c r="X202" s="8"/>
      <c r="Y202" s="8"/>
      <c r="Z202" s="8"/>
    </row>
    <row r="203" spans="1:26" ht="12.75" customHeight="1" x14ac:dyDescent="0.25">
      <c r="A203" s="133"/>
      <c r="B203" s="8"/>
      <c r="C203" s="8"/>
      <c r="D203" s="8"/>
      <c r="E203" s="8"/>
      <c r="F203" s="8"/>
      <c r="G203" s="8"/>
      <c r="H203" s="8"/>
      <c r="I203" s="8"/>
      <c r="J203" s="8"/>
      <c r="K203" s="8"/>
      <c r="L203" s="94"/>
      <c r="M203" s="8"/>
      <c r="N203" s="8"/>
      <c r="O203" s="8"/>
      <c r="P203" s="8"/>
      <c r="Q203" s="8"/>
      <c r="R203" s="8"/>
      <c r="S203" s="8"/>
      <c r="T203" s="8"/>
      <c r="U203" s="8"/>
      <c r="V203" s="8"/>
      <c r="W203" s="8"/>
      <c r="X203" s="8"/>
      <c r="Y203" s="8"/>
      <c r="Z203" s="8"/>
    </row>
    <row r="204" spans="1:26" ht="12.75" customHeight="1" x14ac:dyDescent="0.25">
      <c r="A204" s="133"/>
      <c r="B204" s="8"/>
      <c r="C204" s="8"/>
      <c r="D204" s="8"/>
      <c r="E204" s="8"/>
      <c r="F204" s="8"/>
      <c r="G204" s="8"/>
      <c r="H204" s="8"/>
      <c r="I204" s="8"/>
      <c r="J204" s="8"/>
      <c r="K204" s="8"/>
      <c r="L204" s="94"/>
      <c r="M204" s="8"/>
      <c r="N204" s="8"/>
      <c r="O204" s="8"/>
      <c r="P204" s="8"/>
      <c r="Q204" s="8"/>
      <c r="R204" s="8"/>
      <c r="S204" s="8"/>
      <c r="T204" s="8"/>
      <c r="U204" s="8"/>
      <c r="V204" s="8"/>
      <c r="W204" s="8"/>
      <c r="X204" s="8"/>
      <c r="Y204" s="8"/>
      <c r="Z204" s="8"/>
    </row>
    <row r="205" spans="1:26" ht="12.75" customHeight="1" x14ac:dyDescent="0.25">
      <c r="A205" s="133"/>
      <c r="B205" s="8"/>
      <c r="C205" s="8"/>
      <c r="D205" s="8"/>
      <c r="E205" s="8"/>
      <c r="F205" s="8"/>
      <c r="G205" s="8"/>
      <c r="H205" s="8"/>
      <c r="I205" s="8"/>
      <c r="J205" s="8"/>
      <c r="K205" s="8"/>
      <c r="L205" s="94"/>
      <c r="M205" s="8"/>
      <c r="N205" s="8"/>
      <c r="O205" s="8"/>
      <c r="P205" s="8"/>
      <c r="Q205" s="8"/>
      <c r="R205" s="8"/>
      <c r="S205" s="8"/>
      <c r="T205" s="8"/>
      <c r="U205" s="8"/>
      <c r="V205" s="8"/>
      <c r="W205" s="8"/>
      <c r="X205" s="8"/>
      <c r="Y205" s="8"/>
      <c r="Z205" s="8"/>
    </row>
    <row r="206" spans="1:26" ht="12.75" customHeight="1" x14ac:dyDescent="0.25">
      <c r="A206" s="133"/>
      <c r="B206" s="8"/>
      <c r="C206" s="8"/>
      <c r="D206" s="8"/>
      <c r="E206" s="8"/>
      <c r="F206" s="8"/>
      <c r="G206" s="8"/>
      <c r="H206" s="8"/>
      <c r="I206" s="8"/>
      <c r="J206" s="8"/>
      <c r="K206" s="8"/>
      <c r="L206" s="94"/>
      <c r="M206" s="8"/>
      <c r="N206" s="8"/>
      <c r="O206" s="8"/>
      <c r="P206" s="8"/>
      <c r="Q206" s="8"/>
      <c r="R206" s="8"/>
      <c r="S206" s="8"/>
      <c r="T206" s="8"/>
      <c r="U206" s="8"/>
      <c r="V206" s="8"/>
      <c r="W206" s="8"/>
      <c r="X206" s="8"/>
      <c r="Y206" s="8"/>
      <c r="Z206" s="8"/>
    </row>
    <row r="207" spans="1:26" ht="12.75" customHeight="1" x14ac:dyDescent="0.25">
      <c r="A207" s="133"/>
      <c r="B207" s="8"/>
      <c r="C207" s="8"/>
      <c r="D207" s="8"/>
      <c r="E207" s="8"/>
      <c r="F207" s="8"/>
      <c r="G207" s="8"/>
      <c r="H207" s="8"/>
      <c r="I207" s="8"/>
      <c r="J207" s="8"/>
      <c r="K207" s="8"/>
      <c r="L207" s="94"/>
      <c r="M207" s="8"/>
      <c r="N207" s="8"/>
      <c r="O207" s="8"/>
      <c r="P207" s="8"/>
      <c r="Q207" s="8"/>
      <c r="R207" s="8"/>
      <c r="S207" s="8"/>
      <c r="T207" s="8"/>
      <c r="U207" s="8"/>
      <c r="V207" s="8"/>
      <c r="W207" s="8"/>
      <c r="X207" s="8"/>
      <c r="Y207" s="8"/>
      <c r="Z207" s="8"/>
    </row>
    <row r="208" spans="1:26" ht="12.75" customHeight="1" x14ac:dyDescent="0.25">
      <c r="A208" s="133"/>
      <c r="B208" s="8"/>
      <c r="C208" s="8"/>
      <c r="D208" s="8"/>
      <c r="E208" s="8"/>
      <c r="F208" s="8"/>
      <c r="G208" s="8"/>
      <c r="H208" s="8"/>
      <c r="I208" s="8"/>
      <c r="J208" s="8"/>
      <c r="K208" s="8"/>
      <c r="L208" s="94"/>
      <c r="M208" s="8"/>
      <c r="N208" s="8"/>
      <c r="O208" s="8"/>
      <c r="P208" s="8"/>
      <c r="Q208" s="8"/>
      <c r="R208" s="8"/>
      <c r="S208" s="8"/>
      <c r="T208" s="8"/>
      <c r="U208" s="8"/>
      <c r="V208" s="8"/>
      <c r="W208" s="8"/>
      <c r="X208" s="8"/>
      <c r="Y208" s="8"/>
      <c r="Z208" s="8"/>
    </row>
    <row r="209" spans="1:26" ht="12.75" customHeight="1" x14ac:dyDescent="0.25">
      <c r="A209" s="133"/>
      <c r="B209" s="8"/>
      <c r="C209" s="8"/>
      <c r="D209" s="8"/>
      <c r="E209" s="8"/>
      <c r="F209" s="8"/>
      <c r="G209" s="8"/>
      <c r="H209" s="8"/>
      <c r="I209" s="8"/>
      <c r="J209" s="8"/>
      <c r="K209" s="8"/>
      <c r="L209" s="94"/>
      <c r="M209" s="8"/>
      <c r="N209" s="8"/>
      <c r="O209" s="8"/>
      <c r="P209" s="8"/>
      <c r="Q209" s="8"/>
      <c r="R209" s="8"/>
      <c r="S209" s="8"/>
      <c r="T209" s="8"/>
      <c r="U209" s="8"/>
      <c r="V209" s="8"/>
      <c r="W209" s="8"/>
      <c r="X209" s="8"/>
      <c r="Y209" s="8"/>
      <c r="Z209" s="8"/>
    </row>
    <row r="210" spans="1:26" ht="12.75" customHeight="1" x14ac:dyDescent="0.25">
      <c r="A210" s="133"/>
      <c r="B210" s="8"/>
      <c r="C210" s="8"/>
      <c r="D210" s="8"/>
      <c r="E210" s="8"/>
      <c r="F210" s="8"/>
      <c r="G210" s="8"/>
      <c r="H210" s="8"/>
      <c r="I210" s="8"/>
      <c r="J210" s="8"/>
      <c r="K210" s="8"/>
      <c r="L210" s="94"/>
      <c r="M210" s="8"/>
      <c r="N210" s="8"/>
      <c r="O210" s="8"/>
      <c r="P210" s="8"/>
      <c r="Q210" s="8"/>
      <c r="R210" s="8"/>
      <c r="S210" s="8"/>
      <c r="T210" s="8"/>
      <c r="U210" s="8"/>
      <c r="V210" s="8"/>
      <c r="W210" s="8"/>
      <c r="X210" s="8"/>
      <c r="Y210" s="8"/>
      <c r="Z210" s="8"/>
    </row>
    <row r="211" spans="1:26" ht="12.75" customHeight="1" x14ac:dyDescent="0.25">
      <c r="A211" s="133"/>
      <c r="B211" s="8"/>
      <c r="C211" s="8"/>
      <c r="D211" s="8"/>
      <c r="E211" s="8"/>
      <c r="F211" s="8"/>
      <c r="G211" s="8"/>
      <c r="H211" s="8"/>
      <c r="I211" s="8"/>
      <c r="J211" s="8"/>
      <c r="K211" s="8"/>
      <c r="L211" s="94"/>
      <c r="M211" s="8"/>
      <c r="N211" s="8"/>
      <c r="O211" s="8"/>
      <c r="P211" s="8"/>
      <c r="Q211" s="8"/>
      <c r="R211" s="8"/>
      <c r="S211" s="8"/>
      <c r="T211" s="8"/>
      <c r="U211" s="8"/>
      <c r="V211" s="8"/>
      <c r="W211" s="8"/>
      <c r="X211" s="8"/>
      <c r="Y211" s="8"/>
      <c r="Z211" s="8"/>
    </row>
    <row r="212" spans="1:26" ht="12.75" customHeight="1" x14ac:dyDescent="0.25">
      <c r="A212" s="133"/>
      <c r="B212" s="8"/>
      <c r="C212" s="8"/>
      <c r="D212" s="8"/>
      <c r="E212" s="8"/>
      <c r="F212" s="8"/>
      <c r="G212" s="8"/>
      <c r="H212" s="8"/>
      <c r="I212" s="8"/>
      <c r="J212" s="8"/>
      <c r="K212" s="8"/>
      <c r="L212" s="94"/>
      <c r="M212" s="8"/>
      <c r="N212" s="8"/>
      <c r="O212" s="8"/>
      <c r="P212" s="8"/>
      <c r="Q212" s="8"/>
      <c r="R212" s="8"/>
      <c r="S212" s="8"/>
      <c r="T212" s="8"/>
      <c r="U212" s="8"/>
      <c r="V212" s="8"/>
      <c r="W212" s="8"/>
      <c r="X212" s="8"/>
      <c r="Y212" s="8"/>
      <c r="Z212" s="8"/>
    </row>
    <row r="213" spans="1:26" ht="12.75" customHeight="1" x14ac:dyDescent="0.25">
      <c r="A213" s="133"/>
      <c r="B213" s="8"/>
      <c r="C213" s="8"/>
      <c r="D213" s="8"/>
      <c r="E213" s="8"/>
      <c r="F213" s="8"/>
      <c r="G213" s="8"/>
      <c r="H213" s="8"/>
      <c r="I213" s="8"/>
      <c r="J213" s="8"/>
      <c r="K213" s="8"/>
      <c r="L213" s="94"/>
      <c r="M213" s="8"/>
      <c r="N213" s="8"/>
      <c r="O213" s="8"/>
      <c r="P213" s="8"/>
      <c r="Q213" s="8"/>
      <c r="R213" s="8"/>
      <c r="S213" s="8"/>
      <c r="T213" s="8"/>
      <c r="U213" s="8"/>
      <c r="V213" s="8"/>
      <c r="W213" s="8"/>
      <c r="X213" s="8"/>
      <c r="Y213" s="8"/>
      <c r="Z213" s="8"/>
    </row>
    <row r="214" spans="1:26" ht="12.75" customHeight="1" x14ac:dyDescent="0.25">
      <c r="A214" s="133"/>
      <c r="B214" s="8"/>
      <c r="C214" s="8"/>
      <c r="D214" s="8"/>
      <c r="E214" s="8"/>
      <c r="F214" s="8"/>
      <c r="G214" s="8"/>
      <c r="H214" s="8"/>
      <c r="I214" s="8"/>
      <c r="J214" s="8"/>
      <c r="K214" s="8"/>
      <c r="L214" s="94"/>
      <c r="M214" s="8"/>
      <c r="N214" s="8"/>
      <c r="O214" s="8"/>
      <c r="P214" s="8"/>
      <c r="Q214" s="8"/>
      <c r="R214" s="8"/>
      <c r="S214" s="8"/>
      <c r="T214" s="8"/>
      <c r="U214" s="8"/>
      <c r="V214" s="8"/>
      <c r="W214" s="8"/>
      <c r="X214" s="8"/>
      <c r="Y214" s="8"/>
      <c r="Z214" s="8"/>
    </row>
    <row r="215" spans="1:26" ht="12.75" customHeight="1" x14ac:dyDescent="0.25">
      <c r="A215" s="133"/>
      <c r="B215" s="8"/>
      <c r="C215" s="8"/>
      <c r="D215" s="8"/>
      <c r="E215" s="8"/>
      <c r="F215" s="8"/>
      <c r="G215" s="8"/>
      <c r="H215" s="8"/>
      <c r="I215" s="8"/>
      <c r="J215" s="8"/>
      <c r="K215" s="8"/>
      <c r="L215" s="94"/>
      <c r="M215" s="8"/>
      <c r="N215" s="8"/>
      <c r="O215" s="8"/>
      <c r="P215" s="8"/>
      <c r="Q215" s="8"/>
      <c r="R215" s="8"/>
      <c r="S215" s="8"/>
      <c r="T215" s="8"/>
      <c r="U215" s="8"/>
      <c r="V215" s="8"/>
      <c r="W215" s="8"/>
      <c r="X215" s="8"/>
      <c r="Y215" s="8"/>
      <c r="Z215" s="8"/>
    </row>
    <row r="216" spans="1:26" ht="12.75" customHeight="1" x14ac:dyDescent="0.25">
      <c r="A216" s="133"/>
      <c r="B216" s="8"/>
      <c r="C216" s="8"/>
      <c r="D216" s="8"/>
      <c r="E216" s="8"/>
      <c r="F216" s="8"/>
      <c r="G216" s="8"/>
      <c r="H216" s="8"/>
      <c r="I216" s="8"/>
      <c r="J216" s="8"/>
      <c r="K216" s="8"/>
      <c r="L216" s="94"/>
      <c r="M216" s="8"/>
      <c r="N216" s="8"/>
      <c r="O216" s="8"/>
      <c r="P216" s="8"/>
      <c r="Q216" s="8"/>
      <c r="R216" s="8"/>
      <c r="S216" s="8"/>
      <c r="T216" s="8"/>
      <c r="U216" s="8"/>
      <c r="V216" s="8"/>
      <c r="W216" s="8"/>
      <c r="X216" s="8"/>
      <c r="Y216" s="8"/>
      <c r="Z216" s="8"/>
    </row>
    <row r="217" spans="1:26" ht="12.75" customHeight="1" x14ac:dyDescent="0.25">
      <c r="A217" s="133"/>
      <c r="B217" s="8"/>
      <c r="C217" s="8"/>
      <c r="D217" s="8"/>
      <c r="E217" s="8"/>
      <c r="F217" s="8"/>
      <c r="G217" s="8"/>
      <c r="H217" s="8"/>
      <c r="I217" s="8"/>
      <c r="J217" s="8"/>
      <c r="K217" s="8"/>
      <c r="L217" s="94"/>
      <c r="M217" s="8"/>
      <c r="N217" s="8"/>
      <c r="O217" s="8"/>
      <c r="P217" s="8"/>
      <c r="Q217" s="8"/>
      <c r="R217" s="8"/>
      <c r="S217" s="8"/>
      <c r="T217" s="8"/>
      <c r="U217" s="8"/>
      <c r="V217" s="8"/>
      <c r="W217" s="8"/>
      <c r="X217" s="8"/>
      <c r="Y217" s="8"/>
      <c r="Z217" s="8"/>
    </row>
    <row r="218" spans="1:26" ht="12.75" customHeight="1" x14ac:dyDescent="0.25">
      <c r="A218" s="133"/>
      <c r="B218" s="8"/>
      <c r="C218" s="8"/>
      <c r="D218" s="8"/>
      <c r="E218" s="8"/>
      <c r="F218" s="8"/>
      <c r="G218" s="8"/>
      <c r="H218" s="8"/>
      <c r="I218" s="8"/>
      <c r="J218" s="8"/>
      <c r="K218" s="8"/>
      <c r="L218" s="94"/>
      <c r="M218" s="8"/>
      <c r="N218" s="8"/>
      <c r="O218" s="8"/>
      <c r="P218" s="8"/>
      <c r="Q218" s="8"/>
      <c r="R218" s="8"/>
      <c r="S218" s="8"/>
      <c r="T218" s="8"/>
      <c r="U218" s="8"/>
      <c r="V218" s="8"/>
      <c r="W218" s="8"/>
      <c r="X218" s="8"/>
      <c r="Y218" s="8"/>
      <c r="Z218" s="8"/>
    </row>
    <row r="219" spans="1:26" ht="12.75" customHeight="1" x14ac:dyDescent="0.25">
      <c r="A219" s="133"/>
      <c r="B219" s="8"/>
      <c r="C219" s="8"/>
      <c r="D219" s="8"/>
      <c r="E219" s="8"/>
      <c r="F219" s="8"/>
      <c r="G219" s="8"/>
      <c r="H219" s="8"/>
      <c r="I219" s="8"/>
      <c r="J219" s="8"/>
      <c r="K219" s="8"/>
      <c r="L219" s="94"/>
      <c r="M219" s="8"/>
      <c r="N219" s="8"/>
      <c r="O219" s="8"/>
      <c r="P219" s="8"/>
      <c r="Q219" s="8"/>
      <c r="R219" s="8"/>
      <c r="S219" s="8"/>
      <c r="T219" s="8"/>
      <c r="U219" s="8"/>
      <c r="V219" s="8"/>
      <c r="W219" s="8"/>
      <c r="X219" s="8"/>
      <c r="Y219" s="8"/>
      <c r="Z219" s="8"/>
    </row>
    <row r="220" spans="1:26" ht="12.75" customHeight="1" x14ac:dyDescent="0.25">
      <c r="A220" s="133"/>
      <c r="B220" s="8"/>
      <c r="C220" s="8"/>
      <c r="D220" s="8"/>
      <c r="E220" s="8"/>
      <c r="F220" s="8"/>
      <c r="G220" s="8"/>
      <c r="H220" s="8"/>
      <c r="I220" s="8"/>
      <c r="J220" s="8"/>
      <c r="K220" s="8"/>
      <c r="L220" s="94"/>
      <c r="M220" s="8"/>
      <c r="N220" s="8"/>
      <c r="O220" s="8"/>
      <c r="P220" s="8"/>
      <c r="Q220" s="8"/>
      <c r="R220" s="8"/>
      <c r="S220" s="8"/>
      <c r="T220" s="8"/>
      <c r="U220" s="8"/>
      <c r="V220" s="8"/>
      <c r="W220" s="8"/>
      <c r="X220" s="8"/>
      <c r="Y220" s="8"/>
      <c r="Z220" s="8"/>
    </row>
    <row r="221" spans="1:26" ht="12.75" customHeight="1" x14ac:dyDescent="0.25">
      <c r="A221" s="133"/>
      <c r="B221" s="8"/>
      <c r="C221" s="8"/>
      <c r="D221" s="8"/>
      <c r="E221" s="8"/>
      <c r="F221" s="8"/>
      <c r="G221" s="8"/>
      <c r="H221" s="8"/>
      <c r="I221" s="8"/>
      <c r="J221" s="8"/>
      <c r="K221" s="8"/>
      <c r="L221" s="94"/>
      <c r="M221" s="8"/>
      <c r="N221" s="8"/>
      <c r="O221" s="8"/>
      <c r="P221" s="8"/>
      <c r="Q221" s="8"/>
      <c r="R221" s="8"/>
      <c r="S221" s="8"/>
      <c r="T221" s="8"/>
      <c r="U221" s="8"/>
      <c r="V221" s="8"/>
      <c r="W221" s="8"/>
      <c r="X221" s="8"/>
      <c r="Y221" s="8"/>
      <c r="Z221" s="8"/>
    </row>
    <row r="222" spans="1:26" ht="12.75" customHeight="1" x14ac:dyDescent="0.25">
      <c r="A222" s="133"/>
      <c r="B222" s="8"/>
      <c r="C222" s="8"/>
      <c r="D222" s="8"/>
      <c r="E222" s="8"/>
      <c r="F222" s="8"/>
      <c r="G222" s="8"/>
      <c r="H222" s="8"/>
      <c r="I222" s="8"/>
      <c r="J222" s="8"/>
      <c r="K222" s="8"/>
      <c r="L222" s="94"/>
      <c r="M222" s="8"/>
      <c r="N222" s="8"/>
      <c r="O222" s="8"/>
      <c r="P222" s="8"/>
      <c r="Q222" s="8"/>
      <c r="R222" s="8"/>
      <c r="S222" s="8"/>
      <c r="T222" s="8"/>
      <c r="U222" s="8"/>
      <c r="V222" s="8"/>
      <c r="W222" s="8"/>
      <c r="X222" s="8"/>
      <c r="Y222" s="8"/>
      <c r="Z222" s="8"/>
    </row>
    <row r="223" spans="1:26" ht="12.75" customHeight="1" x14ac:dyDescent="0.25">
      <c r="A223" s="133"/>
      <c r="B223" s="8"/>
      <c r="C223" s="8"/>
      <c r="D223" s="8"/>
      <c r="E223" s="8"/>
      <c r="F223" s="8"/>
      <c r="G223" s="8"/>
      <c r="H223" s="8"/>
      <c r="I223" s="8"/>
      <c r="J223" s="8"/>
      <c r="K223" s="8"/>
      <c r="L223" s="94"/>
      <c r="M223" s="8"/>
      <c r="N223" s="8"/>
      <c r="O223" s="8"/>
      <c r="P223" s="8"/>
      <c r="Q223" s="8"/>
      <c r="R223" s="8"/>
      <c r="S223" s="8"/>
      <c r="T223" s="8"/>
      <c r="U223" s="8"/>
      <c r="V223" s="8"/>
      <c r="W223" s="8"/>
      <c r="X223" s="8"/>
      <c r="Y223" s="8"/>
      <c r="Z223" s="8"/>
    </row>
    <row r="224" spans="1:26" ht="12.75" customHeight="1" x14ac:dyDescent="0.25">
      <c r="A224" s="133"/>
      <c r="B224" s="8"/>
      <c r="C224" s="8"/>
      <c r="D224" s="8"/>
      <c r="E224" s="8"/>
      <c r="F224" s="8"/>
      <c r="G224" s="8"/>
      <c r="H224" s="8"/>
      <c r="I224" s="8"/>
      <c r="J224" s="8"/>
      <c r="K224" s="8"/>
      <c r="L224" s="94"/>
      <c r="M224" s="8"/>
      <c r="N224" s="8"/>
      <c r="O224" s="8"/>
      <c r="P224" s="8"/>
      <c r="Q224" s="8"/>
      <c r="R224" s="8"/>
      <c r="S224" s="8"/>
      <c r="T224" s="8"/>
      <c r="U224" s="8"/>
      <c r="V224" s="8"/>
      <c r="W224" s="8"/>
      <c r="X224" s="8"/>
      <c r="Y224" s="8"/>
      <c r="Z224" s="8"/>
    </row>
    <row r="225" spans="1:26" ht="12.75" customHeight="1" x14ac:dyDescent="0.25">
      <c r="A225" s="133"/>
      <c r="B225" s="8"/>
      <c r="C225" s="8"/>
      <c r="D225" s="8"/>
      <c r="E225" s="8"/>
      <c r="F225" s="8"/>
      <c r="G225" s="8"/>
      <c r="H225" s="8"/>
      <c r="I225" s="8"/>
      <c r="J225" s="8"/>
      <c r="K225" s="8"/>
      <c r="L225" s="94"/>
      <c r="M225" s="8"/>
      <c r="N225" s="8"/>
      <c r="O225" s="8"/>
      <c r="P225" s="8"/>
      <c r="Q225" s="8"/>
      <c r="R225" s="8"/>
      <c r="S225" s="8"/>
      <c r="T225" s="8"/>
      <c r="U225" s="8"/>
      <c r="V225" s="8"/>
      <c r="W225" s="8"/>
      <c r="X225" s="8"/>
      <c r="Y225" s="8"/>
      <c r="Z225" s="8"/>
    </row>
    <row r="226" spans="1:26" ht="12.75" customHeight="1" x14ac:dyDescent="0.25">
      <c r="A226" s="133"/>
      <c r="B226" s="8"/>
      <c r="C226" s="8"/>
      <c r="D226" s="8"/>
      <c r="E226" s="8"/>
      <c r="F226" s="8"/>
      <c r="G226" s="8"/>
      <c r="H226" s="8"/>
      <c r="I226" s="8"/>
      <c r="J226" s="8"/>
      <c r="K226" s="8"/>
      <c r="L226" s="94"/>
      <c r="M226" s="8"/>
      <c r="N226" s="8"/>
      <c r="O226" s="8"/>
      <c r="P226" s="8"/>
      <c r="Q226" s="8"/>
      <c r="R226" s="8"/>
      <c r="S226" s="8"/>
      <c r="T226" s="8"/>
      <c r="U226" s="8"/>
      <c r="V226" s="8"/>
      <c r="W226" s="8"/>
      <c r="X226" s="8"/>
      <c r="Y226" s="8"/>
      <c r="Z226" s="8"/>
    </row>
    <row r="227" spans="1:26" ht="12.75" customHeight="1" x14ac:dyDescent="0.25">
      <c r="A227" s="133"/>
      <c r="B227" s="8"/>
      <c r="C227" s="8"/>
      <c r="D227" s="8"/>
      <c r="E227" s="8"/>
      <c r="F227" s="8"/>
      <c r="G227" s="8"/>
      <c r="H227" s="8"/>
      <c r="I227" s="8"/>
      <c r="J227" s="8"/>
      <c r="K227" s="8"/>
      <c r="L227" s="94"/>
      <c r="M227" s="8"/>
      <c r="N227" s="8"/>
      <c r="O227" s="8"/>
      <c r="P227" s="8"/>
      <c r="Q227" s="8"/>
      <c r="R227" s="8"/>
      <c r="S227" s="8"/>
      <c r="T227" s="8"/>
      <c r="U227" s="8"/>
      <c r="V227" s="8"/>
      <c r="W227" s="8"/>
      <c r="X227" s="8"/>
      <c r="Y227" s="8"/>
      <c r="Z227" s="8"/>
    </row>
    <row r="228" spans="1:26" ht="12.75" customHeight="1" x14ac:dyDescent="0.25">
      <c r="A228" s="133"/>
      <c r="B228" s="8"/>
      <c r="C228" s="8"/>
      <c r="D228" s="8"/>
      <c r="E228" s="8"/>
      <c r="F228" s="8"/>
      <c r="G228" s="8"/>
      <c r="H228" s="8"/>
      <c r="I228" s="8"/>
      <c r="J228" s="8"/>
      <c r="K228" s="8"/>
      <c r="L228" s="94"/>
      <c r="M228" s="8"/>
      <c r="N228" s="8"/>
      <c r="O228" s="8"/>
      <c r="P228" s="8"/>
      <c r="Q228" s="8"/>
      <c r="R228" s="8"/>
      <c r="S228" s="8"/>
      <c r="T228" s="8"/>
      <c r="U228" s="8"/>
      <c r="V228" s="8"/>
      <c r="W228" s="8"/>
      <c r="X228" s="8"/>
      <c r="Y228" s="8"/>
      <c r="Z228" s="8"/>
    </row>
    <row r="229" spans="1:26" ht="12.75" customHeight="1" x14ac:dyDescent="0.25">
      <c r="A229" s="133"/>
      <c r="B229" s="8"/>
      <c r="C229" s="8"/>
      <c r="D229" s="8"/>
      <c r="E229" s="8"/>
      <c r="F229" s="8"/>
      <c r="G229" s="8"/>
      <c r="H229" s="8"/>
      <c r="I229" s="8"/>
      <c r="J229" s="8"/>
      <c r="K229" s="8"/>
      <c r="L229" s="94"/>
      <c r="M229" s="8"/>
      <c r="N229" s="8"/>
      <c r="O229" s="8"/>
      <c r="P229" s="8"/>
      <c r="Q229" s="8"/>
      <c r="R229" s="8"/>
      <c r="S229" s="8"/>
      <c r="T229" s="8"/>
      <c r="U229" s="8"/>
      <c r="V229" s="8"/>
      <c r="W229" s="8"/>
      <c r="X229" s="8"/>
      <c r="Y229" s="8"/>
      <c r="Z229" s="8"/>
    </row>
    <row r="230" spans="1:26" ht="12.75" customHeight="1" x14ac:dyDescent="0.25">
      <c r="A230" s="133"/>
      <c r="B230" s="8"/>
      <c r="C230" s="8"/>
      <c r="D230" s="8"/>
      <c r="E230" s="8"/>
      <c r="F230" s="8"/>
      <c r="G230" s="8"/>
      <c r="H230" s="8"/>
      <c r="I230" s="8"/>
      <c r="J230" s="8"/>
      <c r="K230" s="8"/>
      <c r="L230" s="94"/>
      <c r="M230" s="8"/>
      <c r="N230" s="8"/>
      <c r="O230" s="8"/>
      <c r="P230" s="8"/>
      <c r="Q230" s="8"/>
      <c r="R230" s="8"/>
      <c r="S230" s="8"/>
      <c r="T230" s="8"/>
      <c r="U230" s="8"/>
      <c r="V230" s="8"/>
      <c r="W230" s="8"/>
      <c r="X230" s="8"/>
      <c r="Y230" s="8"/>
      <c r="Z230" s="8"/>
    </row>
    <row r="231" spans="1:26" ht="12.75" customHeight="1" x14ac:dyDescent="0.25">
      <c r="A231" s="133"/>
      <c r="B231" s="8"/>
      <c r="C231" s="8"/>
      <c r="D231" s="8"/>
      <c r="E231" s="8"/>
      <c r="F231" s="8"/>
      <c r="G231" s="8"/>
      <c r="H231" s="8"/>
      <c r="I231" s="8"/>
      <c r="J231" s="8"/>
      <c r="K231" s="8"/>
      <c r="L231" s="94"/>
      <c r="M231" s="8"/>
      <c r="N231" s="8"/>
      <c r="O231" s="8"/>
      <c r="P231" s="8"/>
      <c r="Q231" s="8"/>
      <c r="R231" s="8"/>
      <c r="S231" s="8"/>
      <c r="T231" s="8"/>
      <c r="U231" s="8"/>
      <c r="V231" s="8"/>
      <c r="W231" s="8"/>
      <c r="X231" s="8"/>
      <c r="Y231" s="8"/>
      <c r="Z231" s="8"/>
    </row>
    <row r="232" spans="1:26" ht="12.75" customHeight="1" x14ac:dyDescent="0.25">
      <c r="A232" s="133"/>
      <c r="B232" s="8"/>
      <c r="C232" s="8"/>
      <c r="D232" s="8"/>
      <c r="E232" s="8"/>
      <c r="F232" s="8"/>
      <c r="G232" s="8"/>
      <c r="H232" s="8"/>
      <c r="I232" s="8"/>
      <c r="J232" s="8"/>
      <c r="K232" s="8"/>
      <c r="L232" s="94"/>
      <c r="M232" s="8"/>
      <c r="N232" s="8"/>
      <c r="O232" s="8"/>
      <c r="P232" s="8"/>
      <c r="Q232" s="8"/>
      <c r="R232" s="8"/>
      <c r="S232" s="8"/>
      <c r="T232" s="8"/>
      <c r="U232" s="8"/>
      <c r="V232" s="8"/>
      <c r="W232" s="8"/>
      <c r="X232" s="8"/>
      <c r="Y232" s="8"/>
      <c r="Z232" s="8"/>
    </row>
    <row r="233" spans="1:26" ht="15.75" customHeight="1" x14ac:dyDescent="0.2"/>
    <row r="234" spans="1:26" ht="15.75" customHeight="1" x14ac:dyDescent="0.2"/>
    <row r="235" spans="1:26" ht="15.75" customHeight="1" x14ac:dyDescent="0.2"/>
    <row r="236" spans="1:26" ht="15.75" customHeight="1" x14ac:dyDescent="0.2"/>
    <row r="237" spans="1:26" ht="15.75" customHeight="1" x14ac:dyDescent="0.2"/>
    <row r="238" spans="1:26" ht="15.75" customHeight="1" x14ac:dyDescent="0.2"/>
    <row r="239" spans="1:26" ht="15.75" customHeight="1" x14ac:dyDescent="0.2"/>
    <row r="240" spans="1:2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sheetData>
  <mergeCells count="1">
    <mergeCell ref="B3:E3"/>
  </mergeCells>
  <conditionalFormatting sqref="I9:I31">
    <cfRule type="containsText" dxfId="21" priority="1" operator="containsText" text="&quot;Pass&quot;">
      <formula>NOT(ISERROR(SEARCH(("""Pass"""),(I9))))</formula>
    </cfRule>
    <cfRule type="containsText" dxfId="20" priority="2" operator="containsText" text="&quot;N/A&quot;">
      <formula>NOT(ISERROR(SEARCH(("""N/A"""),(I9))))</formula>
    </cfRule>
    <cfRule type="containsText" dxfId="19" priority="3" operator="containsText" text="&quot;Fail&quot;">
      <formula>NOT(ISERROR(SEARCH(("""Fail"""),(I9))))</formula>
    </cfRule>
    <cfRule type="containsText" dxfId="18" priority="4" operator="containsText" text="&quot;Pass&quot;">
      <formula>NOT(ISERROR(SEARCH(("""Pass"""),(I9))))</formula>
    </cfRule>
    <cfRule type="containsText" dxfId="17" priority="5" operator="containsText" text="&quot;Pass&quot;">
      <formula>NOT(ISERROR(SEARCH(("""Pass"""),(I9))))</formula>
    </cfRule>
    <cfRule type="containsText" dxfId="16" priority="6" operator="containsText" text="&quot;N/A&quot;">
      <formula>NOT(ISERROR(SEARCH(("""N/A"""),(I9))))</formula>
    </cfRule>
    <cfRule type="containsText" dxfId="15" priority="7" operator="containsText" text="&quot;Fail&quot;">
      <formula>NOT(ISERROR(SEARCH(("""Fail"""),(I9))))</formula>
    </cfRule>
    <cfRule type="containsText" dxfId="14" priority="8" operator="containsText" text="&quot;Pass&quot;">
      <formula>NOT(ISERROR(SEARCH(("""Pass"""),(I9))))</formula>
    </cfRule>
    <cfRule type="containsText" dxfId="13" priority="9" operator="containsText" text="Pass">
      <formula>NOT(ISERROR(SEARCH(("Pass"),(I9))))</formula>
    </cfRule>
    <cfRule type="containsText" dxfId="12" priority="10" operator="containsText" text="Fail">
      <formula>NOT(ISERROR(SEARCH(("Fail"),(I9))))</formula>
    </cfRule>
    <cfRule type="containsText" dxfId="11" priority="11" operator="containsText" text="Untested">
      <formula>NOT(ISERROR(SEARCH(("Untested"),(I9))))</formula>
    </cfRule>
  </conditionalFormatting>
  <dataValidations count="2">
    <dataValidation type="list" allowBlank="1" showInputMessage="1" showErrorMessage="1" prompt=" - " sqref="I1:I3 I7:I8 I16:I154" xr:uid="{CF080050-7E87-43C2-B74A-37F58CD04559}">
      <formula1>$M$2:$M$6</formula1>
    </dataValidation>
    <dataValidation type="list" allowBlank="1" showInputMessage="1" showErrorMessage="1" prompt=" - " sqref="I9:I15" xr:uid="{E89C501C-FDA4-4B49-8618-1211062DC68E}">
      <formula1>"Pass,Fail,Untested,N/A"</formula1>
    </dataValidation>
  </dataValidations>
  <pageMargins left="0.7" right="0.7" top="0.75" bottom="0.75" header="0" footer="0"/>
  <pageSetup orientation="landscape" r:id="rId1"/>
  <headerFooter>
    <oddHeader>&amp;LFacilitate_Test Case\Company&amp;Rv1.0</oddHeader>
    <oddFooter>&amp;L 02ae-BM/PM/HDCV/FSOFT v2/0&amp;CInternal use&amp;R&amp;P/</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6"/>
  <sheetViews>
    <sheetView zoomScale="105" workbookViewId="0">
      <pane ySplit="8" topLeftCell="A9" activePane="bottomLeft" state="frozen"/>
      <selection pane="bottomLeft" activeCell="A8" sqref="A8:D11"/>
    </sheetView>
  </sheetViews>
  <sheetFormatPr defaultColWidth="12.6640625" defaultRowHeight="15" customHeight="1" x14ac:dyDescent="0.2"/>
  <cols>
    <col min="1" max="1" width="14.33203125" customWidth="1"/>
    <col min="2" max="5" width="20.33203125" customWidth="1"/>
    <col min="6" max="7" width="25" customWidth="1"/>
    <col min="8" max="8" width="30.109375" customWidth="1"/>
    <col min="9" max="9" width="15.109375" customWidth="1"/>
    <col min="10" max="10" width="16.33203125" customWidth="1"/>
    <col min="11" max="11" width="15.88671875" customWidth="1"/>
    <col min="12" max="12" width="8.109375" customWidth="1"/>
    <col min="13" max="13" width="10" hidden="1" customWidth="1"/>
    <col min="14" max="26" width="10" customWidth="1"/>
  </cols>
  <sheetData>
    <row r="1" spans="1:26" ht="13.5" customHeight="1" x14ac:dyDescent="0.25">
      <c r="A1" s="54"/>
      <c r="B1" s="55"/>
      <c r="C1" s="55"/>
      <c r="D1" s="56"/>
      <c r="E1" s="56"/>
      <c r="F1" s="56"/>
      <c r="G1" s="56"/>
      <c r="H1" s="56"/>
      <c r="I1" s="36"/>
      <c r="J1" s="57"/>
      <c r="K1" s="36"/>
      <c r="L1" s="58"/>
      <c r="M1" s="59"/>
      <c r="N1" s="59"/>
      <c r="O1" s="59"/>
      <c r="P1" s="59"/>
      <c r="Q1" s="59"/>
      <c r="R1" s="59"/>
      <c r="S1" s="59"/>
      <c r="T1" s="59"/>
      <c r="U1" s="59"/>
      <c r="V1" s="59"/>
      <c r="W1" s="59"/>
      <c r="X1" s="59"/>
      <c r="Y1" s="59"/>
      <c r="Z1" s="59"/>
    </row>
    <row r="2" spans="1:26" ht="28.5" customHeight="1" x14ac:dyDescent="0.25">
      <c r="A2" s="60" t="s">
        <v>31</v>
      </c>
      <c r="B2" s="61" t="s">
        <v>66</v>
      </c>
      <c r="C2" s="62"/>
      <c r="D2" s="63"/>
      <c r="E2" s="64"/>
      <c r="F2" s="65"/>
      <c r="G2" s="66"/>
      <c r="H2" s="67"/>
      <c r="I2" s="67"/>
      <c r="J2" s="36"/>
      <c r="K2" s="36"/>
      <c r="L2" s="58"/>
      <c r="M2" s="59" t="s">
        <v>32</v>
      </c>
      <c r="N2" s="59"/>
      <c r="O2" s="59"/>
      <c r="P2" s="59"/>
      <c r="Q2" s="59"/>
      <c r="R2" s="59"/>
      <c r="S2" s="59"/>
      <c r="T2" s="59"/>
      <c r="U2" s="59"/>
      <c r="V2" s="59"/>
      <c r="W2" s="59"/>
      <c r="X2" s="59"/>
      <c r="Y2" s="59"/>
      <c r="Z2" s="59"/>
    </row>
    <row r="3" spans="1:26" ht="34.5" customHeight="1" x14ac:dyDescent="0.25">
      <c r="A3" s="68" t="s">
        <v>33</v>
      </c>
      <c r="B3" s="235" t="s">
        <v>571</v>
      </c>
      <c r="C3" s="236"/>
      <c r="D3" s="236"/>
      <c r="E3" s="237"/>
      <c r="F3" s="167"/>
      <c r="G3" s="66"/>
      <c r="H3" s="67"/>
      <c r="I3" s="67"/>
      <c r="J3" s="36"/>
      <c r="K3" s="36"/>
      <c r="L3" s="58"/>
      <c r="M3" s="59" t="s">
        <v>34</v>
      </c>
      <c r="N3" s="59"/>
      <c r="O3" s="59"/>
      <c r="P3" s="59"/>
      <c r="Q3" s="59"/>
      <c r="R3" s="59"/>
      <c r="S3" s="59"/>
      <c r="T3" s="59"/>
      <c r="U3" s="59"/>
      <c r="V3" s="59"/>
      <c r="W3" s="59"/>
      <c r="X3" s="59"/>
      <c r="Y3" s="59"/>
      <c r="Z3" s="59"/>
    </row>
    <row r="4" spans="1:26" ht="22.8" customHeight="1" x14ac:dyDescent="0.25">
      <c r="A4" s="69" t="s">
        <v>35</v>
      </c>
      <c r="B4" s="70" t="s">
        <v>525</v>
      </c>
      <c r="C4" s="71"/>
      <c r="D4" s="71"/>
      <c r="E4" s="72"/>
      <c r="F4" s="67"/>
      <c r="G4" s="73"/>
      <c r="H4" s="67"/>
      <c r="I4" s="67"/>
      <c r="J4" s="36"/>
      <c r="K4" s="36"/>
      <c r="L4" s="58"/>
      <c r="M4" s="74"/>
      <c r="N4" s="59"/>
      <c r="O4" s="59"/>
      <c r="P4" s="59"/>
      <c r="Q4" s="59"/>
      <c r="R4" s="59"/>
      <c r="S4" s="59"/>
      <c r="T4" s="59"/>
      <c r="U4" s="59"/>
      <c r="V4" s="59"/>
      <c r="W4" s="59"/>
      <c r="X4" s="59"/>
      <c r="Y4" s="59"/>
      <c r="Z4" s="59"/>
    </row>
    <row r="5" spans="1:26" ht="27.6" customHeight="1" x14ac:dyDescent="0.25">
      <c r="A5" s="75" t="s">
        <v>32</v>
      </c>
      <c r="B5" s="76" t="s">
        <v>34</v>
      </c>
      <c r="C5" s="76" t="s">
        <v>36</v>
      </c>
      <c r="D5" s="76" t="s">
        <v>37</v>
      </c>
      <c r="E5" s="77" t="s">
        <v>38</v>
      </c>
      <c r="F5" s="59"/>
      <c r="G5" s="78"/>
      <c r="H5" s="78"/>
      <c r="I5" s="78"/>
      <c r="J5" s="79"/>
      <c r="K5" s="79"/>
      <c r="L5" s="80"/>
      <c r="M5" s="59" t="s">
        <v>39</v>
      </c>
      <c r="N5" s="59"/>
      <c r="O5" s="59"/>
      <c r="P5" s="59"/>
      <c r="Q5" s="59"/>
      <c r="R5" s="59"/>
      <c r="S5" s="59"/>
      <c r="T5" s="59"/>
      <c r="U5" s="59"/>
      <c r="V5" s="59"/>
      <c r="W5" s="59"/>
      <c r="X5" s="59"/>
      <c r="Y5" s="59"/>
      <c r="Z5" s="59"/>
    </row>
    <row r="6" spans="1:26" ht="30" customHeight="1" x14ac:dyDescent="0.25">
      <c r="A6" s="81">
        <f>COUNTIF(I9:I1001,"Pass")</f>
        <v>15</v>
      </c>
      <c r="B6" s="82">
        <f>COUNTIF(I9:I1001,"Fail")</f>
        <v>1</v>
      </c>
      <c r="C6" s="82">
        <f>E6-D6-A6-B6</f>
        <v>1</v>
      </c>
      <c r="D6" s="83">
        <f>COUNTIF(H$9:I$1001,"N/A")</f>
        <v>0</v>
      </c>
      <c r="E6" s="84">
        <f>COUNTA(A9:A1005)</f>
        <v>17</v>
      </c>
      <c r="F6" s="59"/>
      <c r="G6" s="85"/>
      <c r="H6" s="85"/>
      <c r="I6" s="86"/>
      <c r="J6" s="79"/>
      <c r="K6" s="79"/>
      <c r="L6" s="80"/>
      <c r="M6" s="59" t="s">
        <v>37</v>
      </c>
      <c r="N6" s="59"/>
      <c r="O6" s="59"/>
      <c r="P6" s="59"/>
      <c r="Q6" s="59"/>
      <c r="R6" s="59"/>
      <c r="S6" s="59"/>
      <c r="T6" s="59"/>
      <c r="U6" s="59"/>
      <c r="V6" s="59"/>
      <c r="W6" s="59"/>
      <c r="X6" s="59"/>
      <c r="Y6" s="59"/>
      <c r="Z6" s="59"/>
    </row>
    <row r="7" spans="1:26" ht="19.2" customHeight="1" x14ac:dyDescent="0.25">
      <c r="A7" s="59"/>
      <c r="B7" s="59"/>
      <c r="C7" s="59"/>
      <c r="D7" s="59"/>
      <c r="E7" s="59"/>
      <c r="F7" s="59"/>
      <c r="G7" s="59"/>
      <c r="H7" s="87"/>
      <c r="I7" s="79"/>
      <c r="J7" s="79"/>
      <c r="K7" s="79"/>
      <c r="L7" s="80"/>
      <c r="M7" s="59"/>
      <c r="N7" s="59"/>
      <c r="O7" s="59"/>
      <c r="P7" s="59"/>
      <c r="Q7" s="59"/>
      <c r="R7" s="59"/>
      <c r="S7" s="59"/>
      <c r="T7" s="59"/>
      <c r="U7" s="59"/>
      <c r="V7" s="59"/>
      <c r="W7" s="59"/>
      <c r="X7" s="59"/>
      <c r="Y7" s="59"/>
      <c r="Z7" s="59"/>
    </row>
    <row r="8" spans="1:26" ht="25.8" customHeight="1" x14ac:dyDescent="0.25">
      <c r="A8" s="88" t="s">
        <v>40</v>
      </c>
      <c r="B8" s="89" t="s">
        <v>41</v>
      </c>
      <c r="C8" s="88" t="s">
        <v>42</v>
      </c>
      <c r="D8" s="88" t="s">
        <v>43</v>
      </c>
      <c r="E8" s="88" t="s">
        <v>44</v>
      </c>
      <c r="F8" s="88" t="s">
        <v>45</v>
      </c>
      <c r="G8" s="88" t="s">
        <v>46</v>
      </c>
      <c r="H8" s="88" t="s">
        <v>47</v>
      </c>
      <c r="I8" s="89" t="s">
        <v>48</v>
      </c>
      <c r="J8" s="89" t="s">
        <v>49</v>
      </c>
      <c r="K8" s="88" t="s">
        <v>50</v>
      </c>
      <c r="L8" s="90"/>
      <c r="M8" s="59"/>
      <c r="N8" s="59"/>
      <c r="O8" s="59"/>
      <c r="P8" s="59"/>
      <c r="Q8" s="59"/>
      <c r="R8" s="59"/>
      <c r="S8" s="59"/>
      <c r="T8" s="59"/>
      <c r="U8" s="59"/>
      <c r="V8" s="59"/>
      <c r="W8" s="59"/>
      <c r="X8" s="59"/>
      <c r="Y8" s="59"/>
      <c r="Z8" s="59"/>
    </row>
    <row r="9" spans="1:26" s="151" customFormat="1" ht="61.8" customHeight="1" x14ac:dyDescent="0.25">
      <c r="A9" s="189" t="str">
        <f t="shared" ref="A9:A25" si="0">$B$2&amp;"-"&amp;ROW()-8</f>
        <v>Đăng nhập-1</v>
      </c>
      <c r="B9" s="190" t="s">
        <v>59</v>
      </c>
      <c r="C9" s="191"/>
      <c r="D9" s="192" t="s">
        <v>497</v>
      </c>
      <c r="E9" s="192" t="s">
        <v>526</v>
      </c>
      <c r="F9" s="192" t="s">
        <v>331</v>
      </c>
      <c r="G9" s="192" t="s">
        <v>499</v>
      </c>
      <c r="H9" s="193" t="s">
        <v>332</v>
      </c>
      <c r="I9" s="192" t="s">
        <v>32</v>
      </c>
      <c r="J9" s="192"/>
      <c r="K9" s="192"/>
      <c r="L9" s="194"/>
      <c r="M9" s="195"/>
      <c r="N9" s="195"/>
      <c r="O9" s="195"/>
      <c r="P9" s="195"/>
      <c r="Q9" s="195"/>
      <c r="R9" s="195"/>
      <c r="S9" s="195"/>
      <c r="T9" s="195"/>
      <c r="U9" s="195"/>
      <c r="V9" s="195"/>
      <c r="W9" s="195"/>
      <c r="X9" s="195"/>
      <c r="Y9" s="195"/>
      <c r="Z9" s="195"/>
    </row>
    <row r="10" spans="1:26" s="151" customFormat="1" ht="71.400000000000006" customHeight="1" x14ac:dyDescent="0.25">
      <c r="A10" s="189" t="str">
        <f t="shared" si="0"/>
        <v>Đăng nhập-2</v>
      </c>
      <c r="B10" s="196"/>
      <c r="C10" s="191"/>
      <c r="D10" s="192" t="s">
        <v>498</v>
      </c>
      <c r="E10" s="192" t="s">
        <v>527</v>
      </c>
      <c r="F10" s="192" t="s">
        <v>331</v>
      </c>
      <c r="G10" s="192" t="s">
        <v>500</v>
      </c>
      <c r="H10" s="193" t="s">
        <v>501</v>
      </c>
      <c r="I10" s="192" t="s">
        <v>32</v>
      </c>
      <c r="J10" s="192"/>
      <c r="K10" s="192"/>
      <c r="L10" s="197"/>
      <c r="M10" s="198"/>
      <c r="N10" s="198"/>
      <c r="O10" s="198"/>
      <c r="P10" s="198"/>
      <c r="Q10" s="198"/>
      <c r="R10" s="198"/>
      <c r="S10" s="198"/>
      <c r="T10" s="198"/>
      <c r="U10" s="198"/>
      <c r="V10" s="198"/>
      <c r="W10" s="198"/>
      <c r="X10" s="198"/>
      <c r="Y10" s="198"/>
      <c r="Z10" s="198"/>
    </row>
    <row r="11" spans="1:26" s="151" customFormat="1" ht="85.8" customHeight="1" x14ac:dyDescent="0.25">
      <c r="A11" s="192" t="str">
        <f t="shared" si="0"/>
        <v>Đăng nhập-3</v>
      </c>
      <c r="B11" s="199" t="s">
        <v>60</v>
      </c>
      <c r="C11" s="192"/>
      <c r="D11" s="192" t="s">
        <v>64</v>
      </c>
      <c r="E11" s="192"/>
      <c r="F11" s="192" t="s">
        <v>65</v>
      </c>
      <c r="G11" s="192"/>
      <c r="H11" s="192" t="s">
        <v>307</v>
      </c>
      <c r="I11" s="192" t="s">
        <v>32</v>
      </c>
      <c r="J11" s="192"/>
      <c r="K11" s="192"/>
      <c r="L11" s="194"/>
      <c r="M11" s="195"/>
      <c r="N11" s="195"/>
      <c r="O11" s="195"/>
      <c r="P11" s="195"/>
      <c r="Q11" s="195"/>
      <c r="R11" s="195"/>
      <c r="S11" s="195"/>
      <c r="T11" s="195"/>
      <c r="U11" s="195"/>
      <c r="V11" s="195"/>
      <c r="W11" s="195"/>
      <c r="X11" s="195"/>
      <c r="Y11" s="195"/>
      <c r="Z11" s="195"/>
    </row>
    <row r="12" spans="1:26" s="151" customFormat="1" ht="63" customHeight="1" x14ac:dyDescent="0.25">
      <c r="A12" s="192" t="str">
        <f t="shared" si="0"/>
        <v>Đăng nhập-4</v>
      </c>
      <c r="B12" s="192"/>
      <c r="C12" s="192"/>
      <c r="D12" s="192" t="s">
        <v>67</v>
      </c>
      <c r="E12" s="192"/>
      <c r="F12" s="199" t="s">
        <v>153</v>
      </c>
      <c r="G12" s="192"/>
      <c r="H12" s="192" t="s">
        <v>306</v>
      </c>
      <c r="I12" s="192" t="s">
        <v>32</v>
      </c>
      <c r="J12" s="192"/>
      <c r="K12" s="192"/>
      <c r="L12" s="197"/>
      <c r="M12" s="198"/>
      <c r="N12" s="198"/>
      <c r="O12" s="198"/>
      <c r="P12" s="198"/>
      <c r="Q12" s="198"/>
      <c r="R12" s="198"/>
      <c r="S12" s="198"/>
      <c r="T12" s="198"/>
      <c r="U12" s="198"/>
      <c r="V12" s="198"/>
      <c r="W12" s="198"/>
      <c r="X12" s="198"/>
      <c r="Y12" s="198"/>
      <c r="Z12" s="198"/>
    </row>
    <row r="13" spans="1:26" s="151" customFormat="1" ht="55.05" customHeight="1" x14ac:dyDescent="0.25">
      <c r="A13" s="192" t="str">
        <f t="shared" si="0"/>
        <v>Đăng nhập-5</v>
      </c>
      <c r="B13" s="192"/>
      <c r="C13" s="192"/>
      <c r="D13" s="192" t="s">
        <v>68</v>
      </c>
      <c r="E13" s="192"/>
      <c r="F13" s="199" t="s">
        <v>155</v>
      </c>
      <c r="G13" s="192"/>
      <c r="H13" s="192" t="s">
        <v>305</v>
      </c>
      <c r="I13" s="192" t="s">
        <v>32</v>
      </c>
      <c r="J13" s="192"/>
      <c r="K13" s="192"/>
      <c r="L13" s="197"/>
      <c r="M13" s="198"/>
      <c r="N13" s="198"/>
      <c r="O13" s="198"/>
      <c r="P13" s="198"/>
      <c r="Q13" s="198"/>
      <c r="R13" s="198"/>
      <c r="S13" s="198"/>
      <c r="T13" s="198"/>
      <c r="U13" s="198"/>
      <c r="V13" s="198"/>
      <c r="W13" s="198"/>
      <c r="X13" s="198"/>
      <c r="Y13" s="198"/>
      <c r="Z13" s="198"/>
    </row>
    <row r="14" spans="1:26" s="151" customFormat="1" ht="55.05" customHeight="1" x14ac:dyDescent="0.25">
      <c r="A14" s="192" t="str">
        <f t="shared" si="0"/>
        <v>Đăng nhập-6</v>
      </c>
      <c r="B14" s="192"/>
      <c r="C14" s="192"/>
      <c r="D14" s="192" t="s">
        <v>69</v>
      </c>
      <c r="E14" s="192"/>
      <c r="F14" s="199" t="s">
        <v>303</v>
      </c>
      <c r="G14" s="192"/>
      <c r="H14" s="192" t="s">
        <v>304</v>
      </c>
      <c r="I14" s="192" t="s">
        <v>32</v>
      </c>
      <c r="J14" s="192"/>
      <c r="K14" s="192"/>
      <c r="L14" s="197"/>
      <c r="M14" s="198"/>
      <c r="N14" s="198"/>
      <c r="O14" s="198"/>
      <c r="P14" s="198"/>
      <c r="Q14" s="198"/>
      <c r="R14" s="198"/>
      <c r="S14" s="198"/>
      <c r="T14" s="198"/>
      <c r="U14" s="198"/>
      <c r="V14" s="198"/>
      <c r="W14" s="198"/>
      <c r="X14" s="198"/>
      <c r="Y14" s="198"/>
      <c r="Z14" s="198"/>
    </row>
    <row r="15" spans="1:26" s="151" customFormat="1" ht="50.55" customHeight="1" x14ac:dyDescent="0.25">
      <c r="A15" s="192" t="str">
        <f t="shared" si="0"/>
        <v>Đăng nhập-7</v>
      </c>
      <c r="B15" s="192" t="s">
        <v>61</v>
      </c>
      <c r="C15" s="192" t="s">
        <v>96</v>
      </c>
      <c r="D15" s="192" t="s">
        <v>107</v>
      </c>
      <c r="E15" s="192" t="s">
        <v>110</v>
      </c>
      <c r="F15" s="192" t="s">
        <v>308</v>
      </c>
      <c r="G15" s="192" t="s">
        <v>374</v>
      </c>
      <c r="H15" s="192" t="s">
        <v>441</v>
      </c>
      <c r="I15" s="192" t="s">
        <v>32</v>
      </c>
      <c r="J15" s="192"/>
      <c r="K15" s="192" t="s">
        <v>528</v>
      </c>
      <c r="L15" s="194"/>
      <c r="M15" s="195"/>
      <c r="N15" s="195"/>
      <c r="O15" s="195"/>
      <c r="P15" s="195"/>
      <c r="Q15" s="195"/>
      <c r="R15" s="195"/>
      <c r="S15" s="195"/>
      <c r="T15" s="195"/>
      <c r="U15" s="195"/>
      <c r="V15" s="195"/>
      <c r="W15" s="195"/>
      <c r="X15" s="195"/>
      <c r="Y15" s="195"/>
      <c r="Z15" s="195"/>
    </row>
    <row r="16" spans="1:26" s="151" customFormat="1" ht="57" customHeight="1" x14ac:dyDescent="0.25">
      <c r="A16" s="192" t="str">
        <f t="shared" si="0"/>
        <v>Đăng nhập-8</v>
      </c>
      <c r="B16" s="192"/>
      <c r="C16" s="192"/>
      <c r="D16" s="192" t="s">
        <v>108</v>
      </c>
      <c r="E16" s="192" t="s">
        <v>529</v>
      </c>
      <c r="F16" s="192" t="s">
        <v>309</v>
      </c>
      <c r="G16" s="192" t="s">
        <v>318</v>
      </c>
      <c r="H16" s="193" t="s">
        <v>440</v>
      </c>
      <c r="I16" s="192" t="s">
        <v>32</v>
      </c>
      <c r="J16" s="192"/>
      <c r="K16" s="192"/>
      <c r="L16" s="194"/>
      <c r="M16" s="195"/>
      <c r="N16" s="195"/>
      <c r="O16" s="195"/>
      <c r="P16" s="195"/>
      <c r="Q16" s="195"/>
      <c r="R16" s="195"/>
      <c r="S16" s="195"/>
      <c r="T16" s="195"/>
      <c r="U16" s="195"/>
      <c r="V16" s="195"/>
      <c r="W16" s="195"/>
      <c r="X16" s="195"/>
      <c r="Y16" s="195"/>
      <c r="Z16" s="195"/>
    </row>
    <row r="17" spans="1:26" s="151" customFormat="1" ht="73.2" customHeight="1" x14ac:dyDescent="0.25">
      <c r="A17" s="192" t="str">
        <f t="shared" si="0"/>
        <v>Đăng nhập-9</v>
      </c>
      <c r="B17" s="192"/>
      <c r="C17" s="192"/>
      <c r="D17" s="192" t="s">
        <v>109</v>
      </c>
      <c r="E17" s="192" t="s">
        <v>530</v>
      </c>
      <c r="F17" s="192" t="s">
        <v>531</v>
      </c>
      <c r="G17" s="192" t="s">
        <v>317</v>
      </c>
      <c r="H17" s="193" t="s">
        <v>440</v>
      </c>
      <c r="I17" s="192" t="s">
        <v>32</v>
      </c>
      <c r="J17" s="192"/>
      <c r="K17" s="192"/>
      <c r="L17" s="197"/>
      <c r="M17" s="198"/>
      <c r="N17" s="198"/>
      <c r="O17" s="198"/>
      <c r="P17" s="198"/>
      <c r="Q17" s="198"/>
      <c r="R17" s="198"/>
      <c r="S17" s="198"/>
      <c r="T17" s="198"/>
      <c r="U17" s="198"/>
      <c r="V17" s="198"/>
      <c r="W17" s="198"/>
      <c r="X17" s="198"/>
      <c r="Y17" s="198"/>
      <c r="Z17" s="198"/>
    </row>
    <row r="18" spans="1:26" s="151" customFormat="1" ht="73.2" customHeight="1" x14ac:dyDescent="0.25">
      <c r="A18" s="192" t="str">
        <f t="shared" si="0"/>
        <v>Đăng nhập-10</v>
      </c>
      <c r="B18" s="192"/>
      <c r="C18" s="192"/>
      <c r="D18" s="192" t="s">
        <v>483</v>
      </c>
      <c r="E18" s="192" t="s">
        <v>529</v>
      </c>
      <c r="F18" s="192" t="s">
        <v>533</v>
      </c>
      <c r="G18" s="192" t="s">
        <v>484</v>
      </c>
      <c r="H18" s="193" t="s">
        <v>440</v>
      </c>
      <c r="I18" s="192" t="s">
        <v>34</v>
      </c>
      <c r="J18" s="192"/>
      <c r="K18" s="192" t="s">
        <v>532</v>
      </c>
      <c r="L18" s="197"/>
      <c r="M18" s="198"/>
      <c r="N18" s="198"/>
      <c r="O18" s="198"/>
      <c r="P18" s="198"/>
      <c r="Q18" s="198"/>
      <c r="R18" s="198"/>
      <c r="S18" s="198"/>
      <c r="T18" s="198"/>
      <c r="U18" s="198"/>
      <c r="V18" s="198"/>
      <c r="W18" s="198"/>
      <c r="X18" s="198"/>
      <c r="Y18" s="198"/>
      <c r="Z18" s="198"/>
    </row>
    <row r="19" spans="1:26" s="151" customFormat="1" ht="72" customHeight="1" x14ac:dyDescent="0.25">
      <c r="A19" s="192" t="str">
        <f t="shared" si="0"/>
        <v>Đăng nhập-11</v>
      </c>
      <c r="B19" s="192"/>
      <c r="C19" s="192"/>
      <c r="D19" s="192" t="s">
        <v>111</v>
      </c>
      <c r="E19" s="192" t="s">
        <v>529</v>
      </c>
      <c r="F19" s="192" t="s">
        <v>310</v>
      </c>
      <c r="G19" s="192" t="s">
        <v>316</v>
      </c>
      <c r="H19" s="192" t="s">
        <v>535</v>
      </c>
      <c r="I19" s="192" t="s">
        <v>32</v>
      </c>
      <c r="J19" s="192"/>
      <c r="K19" s="192"/>
      <c r="L19" s="197"/>
      <c r="M19" s="198"/>
      <c r="N19" s="198"/>
      <c r="O19" s="198"/>
      <c r="P19" s="198"/>
      <c r="Q19" s="198"/>
      <c r="R19" s="198"/>
      <c r="S19" s="198"/>
      <c r="T19" s="198"/>
      <c r="U19" s="198"/>
      <c r="V19" s="198"/>
      <c r="W19" s="198"/>
      <c r="X19" s="198"/>
      <c r="Y19" s="198"/>
      <c r="Z19" s="198"/>
    </row>
    <row r="20" spans="1:26" s="151" customFormat="1" ht="67.2" customHeight="1" x14ac:dyDescent="0.25">
      <c r="A20" s="192" t="str">
        <f t="shared" si="0"/>
        <v>Đăng nhập-12</v>
      </c>
      <c r="B20" s="192"/>
      <c r="C20" s="192" t="s">
        <v>100</v>
      </c>
      <c r="D20" s="192" t="s">
        <v>311</v>
      </c>
      <c r="E20" s="192" t="s">
        <v>110</v>
      </c>
      <c r="F20" s="192" t="s">
        <v>313</v>
      </c>
      <c r="G20" s="192" t="s">
        <v>319</v>
      </c>
      <c r="H20" s="192" t="s">
        <v>441</v>
      </c>
      <c r="I20" s="192" t="s">
        <v>32</v>
      </c>
      <c r="J20" s="192"/>
      <c r="K20" s="192"/>
      <c r="L20" s="194"/>
      <c r="M20" s="195"/>
      <c r="N20" s="195"/>
      <c r="O20" s="195"/>
      <c r="P20" s="195"/>
      <c r="Q20" s="195"/>
      <c r="R20" s="195"/>
      <c r="S20" s="195"/>
      <c r="T20" s="195"/>
      <c r="U20" s="195"/>
      <c r="V20" s="195"/>
      <c r="W20" s="195"/>
      <c r="X20" s="195"/>
      <c r="Y20" s="195"/>
      <c r="Z20" s="195"/>
    </row>
    <row r="21" spans="1:26" s="151" customFormat="1" ht="75" customHeight="1" x14ac:dyDescent="0.25">
      <c r="A21" s="192" t="str">
        <f t="shared" si="0"/>
        <v>Đăng nhập-13</v>
      </c>
      <c r="B21" s="192"/>
      <c r="C21" s="192"/>
      <c r="D21" s="192" t="s">
        <v>312</v>
      </c>
      <c r="E21" s="192" t="s">
        <v>534</v>
      </c>
      <c r="F21" s="192" t="s">
        <v>442</v>
      </c>
      <c r="G21" s="192" t="s">
        <v>315</v>
      </c>
      <c r="H21" s="193" t="s">
        <v>440</v>
      </c>
      <c r="I21" s="192" t="s">
        <v>32</v>
      </c>
      <c r="J21" s="192"/>
      <c r="K21" s="192"/>
      <c r="L21" s="197"/>
      <c r="M21" s="198"/>
      <c r="N21" s="198"/>
      <c r="O21" s="198"/>
      <c r="P21" s="198"/>
      <c r="Q21" s="198"/>
      <c r="R21" s="198"/>
      <c r="S21" s="198"/>
      <c r="T21" s="198"/>
      <c r="U21" s="198"/>
      <c r="V21" s="198"/>
      <c r="W21" s="198"/>
      <c r="X21" s="198"/>
      <c r="Y21" s="198"/>
      <c r="Z21" s="198"/>
    </row>
    <row r="22" spans="1:26" s="151" customFormat="1" ht="61.8" customHeight="1" x14ac:dyDescent="0.25">
      <c r="A22" s="192" t="str">
        <f t="shared" si="0"/>
        <v>Đăng nhập-14</v>
      </c>
      <c r="B22" s="173"/>
      <c r="C22" s="173"/>
      <c r="D22" s="192" t="s">
        <v>179</v>
      </c>
      <c r="E22" s="192" t="s">
        <v>110</v>
      </c>
      <c r="F22" s="192" t="s">
        <v>443</v>
      </c>
      <c r="G22" s="192" t="s">
        <v>675</v>
      </c>
      <c r="H22" s="192" t="s">
        <v>376</v>
      </c>
      <c r="I22" s="192" t="s">
        <v>32</v>
      </c>
      <c r="J22" s="192"/>
      <c r="K22" s="192"/>
      <c r="L22" s="197"/>
      <c r="M22" s="198"/>
      <c r="N22" s="198"/>
      <c r="O22" s="198"/>
      <c r="P22" s="198"/>
      <c r="Q22" s="198"/>
      <c r="R22" s="198"/>
      <c r="S22" s="198"/>
      <c r="T22" s="198"/>
      <c r="U22" s="198"/>
      <c r="V22" s="198"/>
      <c r="W22" s="198"/>
      <c r="X22" s="198"/>
      <c r="Y22" s="198"/>
      <c r="Z22" s="198"/>
    </row>
    <row r="23" spans="1:26" s="176" customFormat="1" ht="48.45" customHeight="1" x14ac:dyDescent="0.25">
      <c r="A23" s="189" t="str">
        <f t="shared" si="0"/>
        <v>Đăng nhập-15</v>
      </c>
      <c r="B23" s="181" t="s">
        <v>62</v>
      </c>
      <c r="C23" s="181" t="s">
        <v>314</v>
      </c>
      <c r="D23" s="200" t="s">
        <v>71</v>
      </c>
      <c r="E23" s="192" t="s">
        <v>537</v>
      </c>
      <c r="F23" s="173" t="s">
        <v>320</v>
      </c>
      <c r="G23" s="192" t="s">
        <v>676</v>
      </c>
      <c r="H23" s="173" t="s">
        <v>339</v>
      </c>
      <c r="I23" s="173" t="s">
        <v>32</v>
      </c>
      <c r="J23" s="173"/>
      <c r="K23" s="173"/>
      <c r="L23" s="197"/>
      <c r="M23" s="198"/>
      <c r="N23" s="198"/>
      <c r="O23" s="198"/>
      <c r="P23" s="198"/>
      <c r="Q23" s="198"/>
      <c r="R23" s="198"/>
      <c r="S23" s="198"/>
      <c r="T23" s="198"/>
      <c r="U23" s="198"/>
      <c r="V23" s="198"/>
      <c r="W23" s="198"/>
      <c r="X23" s="198"/>
      <c r="Y23" s="198"/>
      <c r="Z23" s="198"/>
    </row>
    <row r="24" spans="1:26" s="176" customFormat="1" ht="64.8" customHeight="1" x14ac:dyDescent="0.25">
      <c r="A24" s="189" t="str">
        <f t="shared" si="0"/>
        <v>Đăng nhập-16</v>
      </c>
      <c r="B24" s="181"/>
      <c r="C24" s="181"/>
      <c r="D24" s="201" t="s">
        <v>444</v>
      </c>
      <c r="E24" s="192" t="s">
        <v>537</v>
      </c>
      <c r="F24" s="173" t="s">
        <v>320</v>
      </c>
      <c r="G24" s="189" t="s">
        <v>502</v>
      </c>
      <c r="H24" s="202" t="s">
        <v>503</v>
      </c>
      <c r="I24" s="181" t="s">
        <v>32</v>
      </c>
      <c r="J24" s="181"/>
      <c r="K24" s="181"/>
      <c r="L24" s="197"/>
      <c r="M24" s="198"/>
      <c r="N24" s="198"/>
      <c r="O24" s="198"/>
      <c r="P24" s="198"/>
      <c r="Q24" s="198"/>
      <c r="R24" s="198"/>
      <c r="S24" s="198"/>
      <c r="T24" s="198"/>
      <c r="U24" s="198"/>
      <c r="V24" s="198"/>
      <c r="W24" s="198"/>
      <c r="X24" s="198"/>
      <c r="Y24" s="198"/>
      <c r="Z24" s="198"/>
    </row>
    <row r="25" spans="1:26" s="166" customFormat="1" ht="55.8" customHeight="1" x14ac:dyDescent="0.25">
      <c r="A25" s="192" t="str">
        <f t="shared" si="0"/>
        <v>Đăng nhập-17</v>
      </c>
      <c r="B25" s="203"/>
      <c r="C25" s="203"/>
      <c r="D25" s="181" t="s">
        <v>375</v>
      </c>
      <c r="E25" s="192" t="s">
        <v>538</v>
      </c>
      <c r="F25" s="204" t="s">
        <v>320</v>
      </c>
      <c r="G25" s="192" t="s">
        <v>676</v>
      </c>
      <c r="H25" s="181" t="s">
        <v>329</v>
      </c>
      <c r="I25" s="205" t="s">
        <v>39</v>
      </c>
      <c r="J25" s="203"/>
      <c r="K25" s="205" t="s">
        <v>536</v>
      </c>
      <c r="L25" s="203"/>
      <c r="M25" s="203"/>
      <c r="N25" s="203"/>
      <c r="O25" s="203"/>
      <c r="P25" s="203"/>
      <c r="Q25" s="203"/>
      <c r="R25" s="203"/>
      <c r="S25" s="203"/>
      <c r="T25" s="203"/>
      <c r="U25" s="203"/>
      <c r="V25" s="203"/>
      <c r="W25" s="203"/>
      <c r="X25" s="203"/>
      <c r="Y25" s="203"/>
      <c r="Z25" s="203"/>
    </row>
    <row r="26" spans="1:26" ht="12.75" customHeight="1" x14ac:dyDescent="0.25">
      <c r="A26" s="8"/>
      <c r="B26" s="8"/>
      <c r="C26" s="8"/>
      <c r="D26" s="8"/>
      <c r="E26" s="8"/>
      <c r="F26" s="8"/>
      <c r="G26" s="8"/>
      <c r="H26" s="8"/>
      <c r="I26" s="8"/>
      <c r="J26" s="8"/>
      <c r="K26" s="8"/>
      <c r="L26" s="94"/>
      <c r="M26" s="8"/>
      <c r="N26" s="8"/>
      <c r="O26" s="8"/>
      <c r="P26" s="8"/>
      <c r="Q26" s="8"/>
      <c r="R26" s="8"/>
      <c r="S26" s="8"/>
      <c r="T26" s="8"/>
      <c r="U26" s="8"/>
      <c r="V26" s="8"/>
      <c r="W26" s="8"/>
      <c r="X26" s="8"/>
      <c r="Y26" s="8"/>
      <c r="Z26" s="8"/>
    </row>
    <row r="27" spans="1:26" ht="12.75" customHeight="1" x14ac:dyDescent="0.25">
      <c r="A27" s="8"/>
      <c r="B27" s="8"/>
      <c r="C27" s="8"/>
      <c r="D27" s="8"/>
      <c r="E27" s="8"/>
      <c r="F27" s="8"/>
      <c r="G27" s="8"/>
      <c r="H27" s="8"/>
      <c r="I27" s="8"/>
      <c r="J27" s="8"/>
      <c r="K27" s="8"/>
      <c r="L27" s="94"/>
      <c r="M27" s="8"/>
      <c r="N27" s="8"/>
      <c r="O27" s="8"/>
      <c r="P27" s="8"/>
      <c r="Q27" s="8"/>
      <c r="R27" s="8"/>
      <c r="S27" s="8"/>
      <c r="T27" s="8"/>
      <c r="U27" s="8"/>
      <c r="V27" s="8"/>
      <c r="W27" s="8"/>
      <c r="X27" s="8"/>
      <c r="Y27" s="8"/>
      <c r="Z27" s="8"/>
    </row>
    <row r="28" spans="1:26" ht="12.75" customHeight="1" x14ac:dyDescent="0.25">
      <c r="A28" s="8"/>
      <c r="B28" s="8"/>
      <c r="C28" s="8"/>
      <c r="D28" s="8"/>
      <c r="E28" s="8"/>
      <c r="F28" s="8"/>
      <c r="G28" s="8"/>
      <c r="H28" s="8"/>
      <c r="I28" s="8"/>
      <c r="J28" s="8"/>
      <c r="K28" s="8"/>
      <c r="L28" s="94"/>
      <c r="M28" s="8"/>
      <c r="N28" s="8"/>
      <c r="O28" s="8"/>
      <c r="P28" s="8"/>
      <c r="Q28" s="8"/>
      <c r="R28" s="8"/>
      <c r="S28" s="8"/>
      <c r="T28" s="8"/>
      <c r="U28" s="8"/>
      <c r="V28" s="8"/>
      <c r="W28" s="8"/>
      <c r="X28" s="8"/>
      <c r="Y28" s="8"/>
      <c r="Z28" s="8"/>
    </row>
    <row r="29" spans="1:26" ht="12.75" customHeight="1" x14ac:dyDescent="0.25">
      <c r="A29" s="8"/>
      <c r="B29" s="8"/>
      <c r="C29" s="8"/>
      <c r="D29" s="8"/>
      <c r="E29" s="8"/>
      <c r="F29" s="8"/>
      <c r="G29" s="8"/>
      <c r="H29" s="8"/>
      <c r="I29" s="8"/>
      <c r="J29" s="8"/>
      <c r="K29" s="8"/>
      <c r="L29" s="94"/>
      <c r="M29" s="8"/>
      <c r="N29" s="8"/>
      <c r="O29" s="8"/>
      <c r="P29" s="8"/>
      <c r="Q29" s="8"/>
      <c r="R29" s="8"/>
      <c r="S29" s="8"/>
      <c r="T29" s="8"/>
      <c r="U29" s="8"/>
      <c r="V29" s="8"/>
      <c r="W29" s="8"/>
      <c r="X29" s="8"/>
      <c r="Y29" s="8"/>
      <c r="Z29" s="8"/>
    </row>
    <row r="30" spans="1:26" ht="12.75" customHeight="1" x14ac:dyDescent="0.25">
      <c r="A30" s="8"/>
      <c r="B30" s="8"/>
      <c r="C30" s="8"/>
      <c r="D30" s="8"/>
      <c r="E30" s="8"/>
      <c r="F30" s="8"/>
      <c r="G30" s="8"/>
      <c r="H30" s="8"/>
      <c r="I30" s="8"/>
      <c r="J30" s="8"/>
      <c r="K30" s="8"/>
      <c r="L30" s="94"/>
      <c r="M30" s="8"/>
      <c r="N30" s="8"/>
      <c r="O30" s="8"/>
      <c r="P30" s="8"/>
      <c r="Q30" s="8"/>
      <c r="R30" s="8"/>
      <c r="S30" s="8"/>
      <c r="T30" s="8"/>
      <c r="U30" s="8"/>
      <c r="V30" s="8"/>
      <c r="W30" s="8"/>
      <c r="X30" s="8"/>
      <c r="Y30" s="8"/>
      <c r="Z30" s="8"/>
    </row>
    <row r="31" spans="1:26" ht="12.75" customHeight="1" x14ac:dyDescent="0.25">
      <c r="A31" s="8"/>
      <c r="B31" s="8"/>
      <c r="C31" s="8"/>
      <c r="D31" s="8"/>
      <c r="E31" s="8"/>
      <c r="F31" s="8"/>
      <c r="G31" s="8"/>
      <c r="H31" s="8"/>
      <c r="I31" s="8"/>
      <c r="J31" s="8"/>
      <c r="K31" s="8"/>
      <c r="L31" s="94"/>
      <c r="M31" s="8"/>
      <c r="N31" s="8"/>
      <c r="O31" s="8"/>
      <c r="P31" s="8"/>
      <c r="Q31" s="8"/>
      <c r="R31" s="8"/>
      <c r="S31" s="8"/>
      <c r="T31" s="8"/>
      <c r="U31" s="8"/>
      <c r="V31" s="8"/>
      <c r="W31" s="8"/>
      <c r="X31" s="8"/>
      <c r="Y31" s="8"/>
      <c r="Z31" s="8"/>
    </row>
    <row r="32" spans="1:26" ht="12.75" customHeight="1" x14ac:dyDescent="0.25">
      <c r="A32" s="8"/>
      <c r="B32" s="8"/>
      <c r="C32" s="8"/>
      <c r="D32" s="8"/>
      <c r="E32" s="8"/>
      <c r="F32" s="8"/>
      <c r="G32" s="8"/>
      <c r="H32" s="8"/>
      <c r="I32" s="8"/>
      <c r="J32" s="8"/>
      <c r="K32" s="8"/>
      <c r="L32" s="94"/>
      <c r="M32" s="8"/>
      <c r="N32" s="8"/>
      <c r="O32" s="8"/>
      <c r="P32" s="8"/>
      <c r="Q32" s="8"/>
      <c r="R32" s="8"/>
      <c r="S32" s="8"/>
      <c r="T32" s="8"/>
      <c r="U32" s="8"/>
      <c r="V32" s="8"/>
      <c r="W32" s="8"/>
      <c r="X32" s="8"/>
      <c r="Y32" s="8"/>
      <c r="Z32" s="8"/>
    </row>
    <row r="33" spans="1:26" ht="12.75" customHeight="1" x14ac:dyDescent="0.25">
      <c r="A33" s="8"/>
      <c r="B33" s="8"/>
      <c r="C33" s="8"/>
      <c r="D33" s="8"/>
      <c r="E33" s="8"/>
      <c r="F33" s="8"/>
      <c r="G33" s="8"/>
      <c r="H33" s="8"/>
      <c r="I33" s="8"/>
      <c r="J33" s="8"/>
      <c r="K33" s="8"/>
      <c r="L33" s="94"/>
      <c r="M33" s="8"/>
      <c r="N33" s="8"/>
      <c r="O33" s="8"/>
      <c r="P33" s="8"/>
      <c r="Q33" s="8"/>
      <c r="R33" s="8"/>
      <c r="S33" s="8"/>
      <c r="T33" s="8"/>
      <c r="U33" s="8"/>
      <c r="V33" s="8"/>
      <c r="W33" s="8"/>
      <c r="X33" s="8"/>
      <c r="Y33" s="8"/>
      <c r="Z33" s="8"/>
    </row>
    <row r="34" spans="1:26" ht="12.75" customHeight="1" x14ac:dyDescent="0.25">
      <c r="A34" s="8"/>
      <c r="B34" s="8"/>
      <c r="C34" s="8"/>
      <c r="D34" s="8"/>
      <c r="E34" s="8"/>
      <c r="F34" s="8"/>
      <c r="G34" s="8"/>
      <c r="H34" s="8"/>
      <c r="I34" s="8"/>
      <c r="J34" s="8"/>
      <c r="K34" s="8"/>
      <c r="L34" s="94"/>
      <c r="M34" s="8"/>
      <c r="N34" s="8"/>
      <c r="O34" s="8"/>
      <c r="P34" s="8"/>
      <c r="Q34" s="8"/>
      <c r="R34" s="8"/>
      <c r="S34" s="8"/>
      <c r="T34" s="8"/>
      <c r="U34" s="8"/>
      <c r="V34" s="8"/>
      <c r="W34" s="8"/>
      <c r="X34" s="8"/>
      <c r="Y34" s="8"/>
      <c r="Z34" s="8"/>
    </row>
    <row r="35" spans="1:26" ht="12.75" customHeight="1" x14ac:dyDescent="0.25">
      <c r="A35" s="8"/>
      <c r="B35" s="8"/>
      <c r="C35" s="8"/>
      <c r="D35" s="8"/>
      <c r="E35" s="8"/>
      <c r="F35" s="8"/>
      <c r="G35" s="8"/>
      <c r="H35" s="8"/>
      <c r="I35" s="8"/>
      <c r="J35" s="8"/>
      <c r="K35" s="8"/>
      <c r="L35" s="94"/>
      <c r="M35" s="8"/>
      <c r="N35" s="8"/>
      <c r="O35" s="8"/>
      <c r="P35" s="8"/>
      <c r="Q35" s="8"/>
      <c r="R35" s="8"/>
      <c r="S35" s="8"/>
      <c r="T35" s="8"/>
      <c r="U35" s="8"/>
      <c r="V35" s="8"/>
      <c r="W35" s="8"/>
      <c r="X35" s="8"/>
      <c r="Y35" s="8"/>
      <c r="Z35" s="8"/>
    </row>
    <row r="36" spans="1:26" ht="12.75" customHeight="1" x14ac:dyDescent="0.25">
      <c r="A36" s="8"/>
      <c r="B36" s="8"/>
      <c r="C36" s="8"/>
      <c r="D36" s="8"/>
      <c r="E36" s="8"/>
      <c r="F36" s="8"/>
      <c r="G36" s="8"/>
      <c r="H36" s="8"/>
      <c r="I36" s="8"/>
      <c r="J36" s="8"/>
      <c r="K36" s="8"/>
      <c r="L36" s="94"/>
      <c r="M36" s="8"/>
      <c r="N36" s="8"/>
      <c r="O36" s="8"/>
      <c r="P36" s="8"/>
      <c r="Q36" s="8"/>
      <c r="R36" s="8"/>
      <c r="S36" s="8"/>
      <c r="T36" s="8"/>
      <c r="U36" s="8"/>
      <c r="V36" s="8"/>
      <c r="W36" s="8"/>
      <c r="X36" s="8"/>
      <c r="Y36" s="8"/>
      <c r="Z36" s="8"/>
    </row>
    <row r="37" spans="1:26" ht="12.75" customHeight="1" x14ac:dyDescent="0.25">
      <c r="A37" s="8"/>
      <c r="B37" s="8"/>
      <c r="C37" s="8"/>
      <c r="D37" s="8"/>
      <c r="E37" s="8"/>
      <c r="F37" s="8"/>
      <c r="G37" s="8"/>
      <c r="H37" s="8"/>
      <c r="I37" s="8"/>
      <c r="J37" s="8"/>
      <c r="K37" s="8"/>
      <c r="L37" s="94"/>
      <c r="M37" s="8"/>
      <c r="N37" s="8"/>
      <c r="O37" s="8"/>
      <c r="P37" s="8"/>
      <c r="Q37" s="8"/>
      <c r="R37" s="8"/>
      <c r="S37" s="8"/>
      <c r="T37" s="8"/>
      <c r="U37" s="8"/>
      <c r="V37" s="8"/>
      <c r="W37" s="8"/>
      <c r="X37" s="8"/>
      <c r="Y37" s="8"/>
      <c r="Z37" s="8"/>
    </row>
    <row r="38" spans="1:26" ht="12.75" customHeight="1" x14ac:dyDescent="0.25">
      <c r="A38" s="8"/>
      <c r="B38" s="8"/>
      <c r="C38" s="8"/>
      <c r="D38" s="8"/>
      <c r="E38" s="8"/>
      <c r="F38" s="8"/>
      <c r="G38" s="8"/>
      <c r="H38" s="8"/>
      <c r="I38" s="8"/>
      <c r="J38" s="8"/>
      <c r="K38" s="8"/>
      <c r="L38" s="94"/>
      <c r="M38" s="8"/>
      <c r="N38" s="8"/>
      <c r="O38" s="8"/>
      <c r="P38" s="8"/>
      <c r="Q38" s="8"/>
      <c r="R38" s="8"/>
      <c r="S38" s="8"/>
      <c r="T38" s="8"/>
      <c r="U38" s="8"/>
      <c r="V38" s="8"/>
      <c r="W38" s="8"/>
      <c r="X38" s="8"/>
      <c r="Y38" s="8"/>
      <c r="Z38" s="8"/>
    </row>
    <row r="39" spans="1:26" ht="12.75" customHeight="1" x14ac:dyDescent="0.25">
      <c r="A39" s="8"/>
      <c r="B39" s="8"/>
      <c r="C39" s="8"/>
      <c r="D39" s="8"/>
      <c r="E39" s="8"/>
      <c r="F39" s="8"/>
      <c r="G39" s="8"/>
      <c r="H39" s="8"/>
      <c r="I39" s="8"/>
      <c r="J39" s="8"/>
      <c r="K39" s="8"/>
      <c r="L39" s="94"/>
      <c r="M39" s="8"/>
      <c r="N39" s="8"/>
      <c r="O39" s="8"/>
      <c r="P39" s="8"/>
      <c r="Q39" s="8"/>
      <c r="R39" s="8"/>
      <c r="S39" s="8"/>
      <c r="T39" s="8"/>
      <c r="U39" s="8"/>
      <c r="V39" s="8"/>
      <c r="W39" s="8"/>
      <c r="X39" s="8"/>
      <c r="Y39" s="8"/>
      <c r="Z39" s="8"/>
    </row>
    <row r="40" spans="1:26" ht="12.75" customHeight="1" x14ac:dyDescent="0.25">
      <c r="A40" s="8"/>
      <c r="B40" s="8"/>
      <c r="C40" s="8"/>
      <c r="D40" s="8"/>
      <c r="E40" s="8"/>
      <c r="F40" s="8"/>
      <c r="G40" s="8"/>
      <c r="H40" s="8"/>
      <c r="I40" s="8"/>
      <c r="J40" s="8"/>
      <c r="K40" s="8"/>
      <c r="L40" s="94"/>
      <c r="M40" s="8"/>
      <c r="N40" s="8"/>
      <c r="O40" s="8"/>
      <c r="P40" s="8"/>
      <c r="Q40" s="8"/>
      <c r="R40" s="8"/>
      <c r="S40" s="8"/>
      <c r="T40" s="8"/>
      <c r="U40" s="8"/>
      <c r="V40" s="8"/>
      <c r="W40" s="8"/>
      <c r="X40" s="8"/>
      <c r="Y40" s="8"/>
      <c r="Z40" s="8"/>
    </row>
    <row r="41" spans="1:26" ht="12.75" customHeight="1" x14ac:dyDescent="0.25">
      <c r="A41" s="8"/>
      <c r="B41" s="8"/>
      <c r="C41" s="8"/>
      <c r="D41" s="8"/>
      <c r="E41" s="8"/>
      <c r="F41" s="8"/>
      <c r="G41" s="8"/>
      <c r="H41" s="8"/>
      <c r="I41" s="8"/>
      <c r="J41" s="8"/>
      <c r="K41" s="8"/>
      <c r="L41" s="94"/>
      <c r="M41" s="8"/>
      <c r="N41" s="8"/>
      <c r="O41" s="8"/>
      <c r="P41" s="8"/>
      <c r="Q41" s="8"/>
      <c r="R41" s="8"/>
      <c r="S41" s="8"/>
      <c r="T41" s="8"/>
      <c r="U41" s="8"/>
      <c r="V41" s="8"/>
      <c r="W41" s="8"/>
      <c r="X41" s="8"/>
      <c r="Y41" s="8"/>
      <c r="Z41" s="8"/>
    </row>
    <row r="42" spans="1:26" ht="12.75" customHeight="1" x14ac:dyDescent="0.25">
      <c r="A42" s="8"/>
      <c r="B42" s="8"/>
      <c r="C42" s="8"/>
      <c r="D42" s="8"/>
      <c r="E42" s="8"/>
      <c r="F42" s="8"/>
      <c r="G42" s="8"/>
      <c r="H42" s="8"/>
      <c r="I42" s="8"/>
      <c r="J42" s="8"/>
      <c r="K42" s="8"/>
      <c r="L42" s="94"/>
      <c r="M42" s="8"/>
      <c r="N42" s="8"/>
      <c r="O42" s="8"/>
      <c r="P42" s="8"/>
      <c r="Q42" s="8"/>
      <c r="R42" s="8"/>
      <c r="S42" s="8"/>
      <c r="T42" s="8"/>
      <c r="U42" s="8"/>
      <c r="V42" s="8"/>
      <c r="W42" s="8"/>
      <c r="X42" s="8"/>
      <c r="Y42" s="8"/>
      <c r="Z42" s="8"/>
    </row>
    <row r="43" spans="1:26" ht="12.75" customHeight="1" x14ac:dyDescent="0.25">
      <c r="A43" s="8"/>
      <c r="B43" s="8"/>
      <c r="C43" s="8"/>
      <c r="D43" s="8"/>
      <c r="E43" s="8"/>
      <c r="F43" s="8"/>
      <c r="G43" s="8"/>
      <c r="H43" s="8"/>
      <c r="I43" s="8"/>
      <c r="J43" s="8"/>
      <c r="K43" s="8"/>
      <c r="L43" s="94"/>
      <c r="M43" s="8"/>
      <c r="N43" s="8"/>
      <c r="O43" s="8"/>
      <c r="P43" s="8"/>
      <c r="Q43" s="8"/>
      <c r="R43" s="8"/>
      <c r="S43" s="8"/>
      <c r="T43" s="8"/>
      <c r="U43" s="8"/>
      <c r="V43" s="8"/>
      <c r="W43" s="8"/>
      <c r="X43" s="8"/>
      <c r="Y43" s="8"/>
      <c r="Z43" s="8"/>
    </row>
    <row r="44" spans="1:26" ht="12.75" customHeight="1" x14ac:dyDescent="0.25">
      <c r="A44" s="8"/>
      <c r="B44" s="8"/>
      <c r="C44" s="8"/>
      <c r="D44" s="8"/>
      <c r="E44" s="8"/>
      <c r="F44" s="8"/>
      <c r="G44" s="8"/>
      <c r="H44" s="8"/>
      <c r="I44" s="8"/>
      <c r="J44" s="8"/>
      <c r="K44" s="8"/>
      <c r="L44" s="94"/>
      <c r="M44" s="8"/>
      <c r="N44" s="8"/>
      <c r="O44" s="8"/>
      <c r="P44" s="8"/>
      <c r="Q44" s="8"/>
      <c r="R44" s="8"/>
      <c r="S44" s="8"/>
      <c r="T44" s="8"/>
      <c r="U44" s="8"/>
      <c r="V44" s="8"/>
      <c r="W44" s="8"/>
      <c r="X44" s="8"/>
      <c r="Y44" s="8"/>
      <c r="Z44" s="8"/>
    </row>
    <row r="45" spans="1:26" ht="12.75" customHeight="1" x14ac:dyDescent="0.25">
      <c r="A45" s="8"/>
      <c r="B45" s="8"/>
      <c r="C45" s="8"/>
      <c r="D45" s="8"/>
      <c r="E45" s="8"/>
      <c r="F45" s="8"/>
      <c r="G45" s="8"/>
      <c r="H45" s="8"/>
      <c r="I45" s="8"/>
      <c r="J45" s="8"/>
      <c r="K45" s="8"/>
      <c r="L45" s="94"/>
      <c r="M45" s="8"/>
      <c r="N45" s="8"/>
      <c r="O45" s="8"/>
      <c r="P45" s="8"/>
      <c r="Q45" s="8"/>
      <c r="R45" s="8"/>
      <c r="S45" s="8"/>
      <c r="T45" s="8"/>
      <c r="U45" s="8"/>
      <c r="V45" s="8"/>
      <c r="W45" s="8"/>
      <c r="X45" s="8"/>
      <c r="Y45" s="8"/>
      <c r="Z45" s="8"/>
    </row>
    <row r="46" spans="1:26" ht="12.75" customHeight="1" x14ac:dyDescent="0.25">
      <c r="A46" s="8"/>
      <c r="B46" s="8"/>
      <c r="C46" s="8"/>
      <c r="D46" s="8"/>
      <c r="E46" s="8"/>
      <c r="F46" s="8"/>
      <c r="G46" s="8"/>
      <c r="H46" s="8"/>
      <c r="I46" s="8"/>
      <c r="J46" s="8"/>
      <c r="K46" s="8"/>
      <c r="L46" s="94"/>
      <c r="M46" s="8"/>
      <c r="N46" s="8"/>
      <c r="O46" s="8"/>
      <c r="P46" s="8"/>
      <c r="Q46" s="8"/>
      <c r="R46" s="8"/>
      <c r="S46" s="8"/>
      <c r="T46" s="8"/>
      <c r="U46" s="8"/>
      <c r="V46" s="8"/>
      <c r="W46" s="8"/>
      <c r="X46" s="8"/>
      <c r="Y46" s="8"/>
      <c r="Z46" s="8"/>
    </row>
    <row r="47" spans="1:26" ht="12.75" customHeight="1" x14ac:dyDescent="0.25">
      <c r="A47" s="8"/>
      <c r="B47" s="8"/>
      <c r="C47" s="8"/>
      <c r="D47" s="8"/>
      <c r="E47" s="8"/>
      <c r="F47" s="8"/>
      <c r="G47" s="8"/>
      <c r="H47" s="8"/>
      <c r="I47" s="8"/>
      <c r="J47" s="8"/>
      <c r="K47" s="8"/>
      <c r="L47" s="94"/>
      <c r="M47" s="8"/>
      <c r="N47" s="8"/>
      <c r="O47" s="8"/>
      <c r="P47" s="8"/>
      <c r="Q47" s="8"/>
      <c r="R47" s="8"/>
      <c r="S47" s="8"/>
      <c r="T47" s="8"/>
      <c r="U47" s="8"/>
      <c r="V47" s="8"/>
      <c r="W47" s="8"/>
      <c r="X47" s="8"/>
      <c r="Y47" s="8"/>
      <c r="Z47" s="8"/>
    </row>
    <row r="48" spans="1:26" ht="12.75" customHeight="1" x14ac:dyDescent="0.25">
      <c r="A48" s="8"/>
      <c r="B48" s="8"/>
      <c r="C48" s="8"/>
      <c r="D48" s="8"/>
      <c r="E48" s="8"/>
      <c r="F48" s="8"/>
      <c r="G48" s="8"/>
      <c r="H48" s="8"/>
      <c r="I48" s="8"/>
      <c r="J48" s="8"/>
      <c r="K48" s="8"/>
      <c r="L48" s="94"/>
      <c r="M48" s="8"/>
      <c r="N48" s="8"/>
      <c r="O48" s="8"/>
      <c r="P48" s="8"/>
      <c r="Q48" s="8"/>
      <c r="R48" s="8"/>
      <c r="S48" s="8"/>
      <c r="T48" s="8"/>
      <c r="U48" s="8"/>
      <c r="V48" s="8"/>
      <c r="W48" s="8"/>
      <c r="X48" s="8"/>
      <c r="Y48" s="8"/>
      <c r="Z48" s="8"/>
    </row>
    <row r="49" spans="1:26" ht="12.75" customHeight="1" x14ac:dyDescent="0.25">
      <c r="A49" s="8"/>
      <c r="B49" s="8"/>
      <c r="C49" s="8"/>
      <c r="D49" s="8"/>
      <c r="E49" s="8"/>
      <c r="F49" s="8"/>
      <c r="G49" s="8"/>
      <c r="H49" s="8"/>
      <c r="I49" s="8"/>
      <c r="J49" s="8"/>
      <c r="K49" s="8"/>
      <c r="L49" s="94"/>
      <c r="M49" s="8"/>
      <c r="N49" s="8"/>
      <c r="O49" s="8"/>
      <c r="P49" s="8"/>
      <c r="Q49" s="8"/>
      <c r="R49" s="8"/>
      <c r="S49" s="8"/>
      <c r="T49" s="8"/>
      <c r="U49" s="8"/>
      <c r="V49" s="8"/>
      <c r="W49" s="8"/>
      <c r="X49" s="8"/>
      <c r="Y49" s="8"/>
      <c r="Z49" s="8"/>
    </row>
    <row r="50" spans="1:26" ht="12.75" customHeight="1" x14ac:dyDescent="0.25">
      <c r="A50" s="8"/>
      <c r="B50" s="8"/>
      <c r="C50" s="8"/>
      <c r="D50" s="8"/>
      <c r="E50" s="8"/>
      <c r="F50" s="8"/>
      <c r="G50" s="8"/>
      <c r="H50" s="8"/>
      <c r="I50" s="8"/>
      <c r="J50" s="8"/>
      <c r="K50" s="8"/>
      <c r="L50" s="94"/>
      <c r="M50" s="8"/>
      <c r="N50" s="8"/>
      <c r="O50" s="8"/>
      <c r="P50" s="8"/>
      <c r="Q50" s="8"/>
      <c r="R50" s="8"/>
      <c r="S50" s="8"/>
      <c r="T50" s="8"/>
      <c r="U50" s="8"/>
      <c r="V50" s="8"/>
      <c r="W50" s="8"/>
      <c r="X50" s="8"/>
      <c r="Y50" s="8"/>
      <c r="Z50" s="8"/>
    </row>
    <row r="51" spans="1:26" ht="12.75" customHeight="1" x14ac:dyDescent="0.25">
      <c r="A51" s="8"/>
      <c r="B51" s="8"/>
      <c r="C51" s="8"/>
      <c r="D51" s="8"/>
      <c r="E51" s="8"/>
      <c r="F51" s="8"/>
      <c r="G51" s="8"/>
      <c r="H51" s="8"/>
      <c r="I51" s="8"/>
      <c r="J51" s="8"/>
      <c r="K51" s="8"/>
      <c r="L51" s="94"/>
      <c r="M51" s="8"/>
      <c r="N51" s="8"/>
      <c r="O51" s="8"/>
      <c r="P51" s="8"/>
      <c r="Q51" s="8"/>
      <c r="R51" s="8"/>
      <c r="S51" s="8"/>
      <c r="T51" s="8"/>
      <c r="U51" s="8"/>
      <c r="V51" s="8"/>
      <c r="W51" s="8"/>
      <c r="X51" s="8"/>
      <c r="Y51" s="8"/>
      <c r="Z51" s="8"/>
    </row>
    <row r="52" spans="1:26" ht="12.75" customHeight="1" x14ac:dyDescent="0.25">
      <c r="A52" s="8"/>
      <c r="B52" s="8"/>
      <c r="C52" s="8"/>
      <c r="D52" s="8"/>
      <c r="E52" s="8"/>
      <c r="F52" s="8"/>
      <c r="G52" s="8"/>
      <c r="H52" s="8"/>
      <c r="I52" s="8"/>
      <c r="J52" s="8"/>
      <c r="K52" s="8"/>
      <c r="L52" s="94"/>
      <c r="M52" s="8"/>
      <c r="N52" s="8"/>
      <c r="O52" s="8"/>
      <c r="P52" s="8"/>
      <c r="Q52" s="8"/>
      <c r="R52" s="8"/>
      <c r="S52" s="8"/>
      <c r="T52" s="8"/>
      <c r="U52" s="8"/>
      <c r="V52" s="8"/>
      <c r="W52" s="8"/>
      <c r="X52" s="8"/>
      <c r="Y52" s="8"/>
      <c r="Z52" s="8"/>
    </row>
    <row r="53" spans="1:26" ht="12.75" customHeight="1" x14ac:dyDescent="0.25">
      <c r="A53" s="8"/>
      <c r="B53" s="8"/>
      <c r="C53" s="8"/>
      <c r="D53" s="8"/>
      <c r="E53" s="8"/>
      <c r="F53" s="8"/>
      <c r="G53" s="8"/>
      <c r="H53" s="8"/>
      <c r="I53" s="8"/>
      <c r="J53" s="8"/>
      <c r="K53" s="8"/>
      <c r="L53" s="94"/>
      <c r="M53" s="8"/>
      <c r="N53" s="8"/>
      <c r="O53" s="8"/>
      <c r="P53" s="8"/>
      <c r="Q53" s="8"/>
      <c r="R53" s="8"/>
      <c r="S53" s="8"/>
      <c r="T53" s="8"/>
      <c r="U53" s="8"/>
      <c r="V53" s="8"/>
      <c r="W53" s="8"/>
      <c r="X53" s="8"/>
      <c r="Y53" s="8"/>
      <c r="Z53" s="8"/>
    </row>
    <row r="54" spans="1:26" ht="12.75" customHeight="1" x14ac:dyDescent="0.25">
      <c r="A54" s="8"/>
      <c r="B54" s="8"/>
      <c r="C54" s="8"/>
      <c r="D54" s="8"/>
      <c r="E54" s="8"/>
      <c r="F54" s="8"/>
      <c r="G54" s="8"/>
      <c r="H54" s="8"/>
      <c r="I54" s="8"/>
      <c r="J54" s="8"/>
      <c r="K54" s="8"/>
      <c r="L54" s="94"/>
      <c r="M54" s="8"/>
      <c r="N54" s="8"/>
      <c r="O54" s="8"/>
      <c r="P54" s="8"/>
      <c r="Q54" s="8"/>
      <c r="R54" s="8"/>
      <c r="S54" s="8"/>
      <c r="T54" s="8"/>
      <c r="U54" s="8"/>
      <c r="V54" s="8"/>
      <c r="W54" s="8"/>
      <c r="X54" s="8"/>
      <c r="Y54" s="8"/>
      <c r="Z54" s="8"/>
    </row>
    <row r="55" spans="1:26" ht="12.75" customHeight="1" x14ac:dyDescent="0.25">
      <c r="A55" s="8"/>
      <c r="B55" s="8"/>
      <c r="C55" s="8"/>
      <c r="D55" s="8"/>
      <c r="E55" s="8"/>
      <c r="F55" s="8"/>
      <c r="G55" s="8"/>
      <c r="H55" s="8"/>
      <c r="I55" s="8"/>
      <c r="J55" s="8"/>
      <c r="K55" s="8"/>
      <c r="L55" s="94"/>
      <c r="M55" s="8"/>
      <c r="N55" s="8"/>
      <c r="O55" s="8"/>
      <c r="P55" s="8"/>
      <c r="Q55" s="8"/>
      <c r="R55" s="8"/>
      <c r="S55" s="8"/>
      <c r="T55" s="8"/>
      <c r="U55" s="8"/>
      <c r="V55" s="8"/>
      <c r="W55" s="8"/>
      <c r="X55" s="8"/>
      <c r="Y55" s="8"/>
      <c r="Z55" s="8"/>
    </row>
    <row r="56" spans="1:26" ht="12.75" customHeight="1" x14ac:dyDescent="0.25">
      <c r="A56" s="8"/>
      <c r="B56" s="8"/>
      <c r="C56" s="8"/>
      <c r="D56" s="8"/>
      <c r="E56" s="8"/>
      <c r="F56" s="8"/>
      <c r="G56" s="8"/>
      <c r="H56" s="8"/>
      <c r="I56" s="8"/>
      <c r="J56" s="8"/>
      <c r="K56" s="8"/>
      <c r="L56" s="94"/>
      <c r="M56" s="8"/>
      <c r="N56" s="8"/>
      <c r="O56" s="8"/>
      <c r="P56" s="8"/>
      <c r="Q56" s="8"/>
      <c r="R56" s="8"/>
      <c r="S56" s="8"/>
      <c r="T56" s="8"/>
      <c r="U56" s="8"/>
      <c r="V56" s="8"/>
      <c r="W56" s="8"/>
      <c r="X56" s="8"/>
      <c r="Y56" s="8"/>
      <c r="Z56" s="8"/>
    </row>
    <row r="57" spans="1:26" ht="12.75" customHeight="1" x14ac:dyDescent="0.25">
      <c r="A57" s="8"/>
      <c r="B57" s="8"/>
      <c r="C57" s="8"/>
      <c r="D57" s="8"/>
      <c r="E57" s="8"/>
      <c r="F57" s="8"/>
      <c r="G57" s="8"/>
      <c r="H57" s="8"/>
      <c r="I57" s="8"/>
      <c r="J57" s="8"/>
      <c r="K57" s="8"/>
      <c r="L57" s="94"/>
      <c r="M57" s="8"/>
      <c r="N57" s="8"/>
      <c r="O57" s="8"/>
      <c r="P57" s="8"/>
      <c r="Q57" s="8"/>
      <c r="R57" s="8"/>
      <c r="S57" s="8"/>
      <c r="T57" s="8"/>
      <c r="U57" s="8"/>
      <c r="V57" s="8"/>
      <c r="W57" s="8"/>
      <c r="X57" s="8"/>
      <c r="Y57" s="8"/>
      <c r="Z57" s="8"/>
    </row>
    <row r="58" spans="1:26" ht="12.75" customHeight="1" x14ac:dyDescent="0.25">
      <c r="A58" s="8"/>
      <c r="B58" s="8"/>
      <c r="C58" s="8"/>
      <c r="D58" s="8"/>
      <c r="E58" s="8"/>
      <c r="F58" s="8"/>
      <c r="G58" s="8"/>
      <c r="H58" s="8"/>
      <c r="I58" s="8"/>
      <c r="J58" s="8"/>
      <c r="K58" s="8"/>
      <c r="L58" s="94"/>
      <c r="M58" s="8"/>
      <c r="N58" s="8"/>
      <c r="O58" s="8"/>
      <c r="P58" s="8"/>
      <c r="Q58" s="8"/>
      <c r="R58" s="8"/>
      <c r="S58" s="8"/>
      <c r="T58" s="8"/>
      <c r="U58" s="8"/>
      <c r="V58" s="8"/>
      <c r="W58" s="8"/>
      <c r="X58" s="8"/>
      <c r="Y58" s="8"/>
      <c r="Z58" s="8"/>
    </row>
    <row r="59" spans="1:26" ht="12.75" customHeight="1" x14ac:dyDescent="0.25">
      <c r="A59" s="8"/>
      <c r="B59" s="8"/>
      <c r="C59" s="8"/>
      <c r="D59" s="8"/>
      <c r="E59" s="8"/>
      <c r="F59" s="8"/>
      <c r="G59" s="8"/>
      <c r="H59" s="8"/>
      <c r="I59" s="8"/>
      <c r="J59" s="8"/>
      <c r="K59" s="8"/>
      <c r="L59" s="94"/>
      <c r="M59" s="8"/>
      <c r="N59" s="8"/>
      <c r="O59" s="8"/>
      <c r="P59" s="8"/>
      <c r="Q59" s="8"/>
      <c r="R59" s="8"/>
      <c r="S59" s="8"/>
      <c r="T59" s="8"/>
      <c r="U59" s="8"/>
      <c r="V59" s="8"/>
      <c r="W59" s="8"/>
      <c r="X59" s="8"/>
      <c r="Y59" s="8"/>
      <c r="Z59" s="8"/>
    </row>
    <row r="60" spans="1:26" ht="12.75" customHeight="1" x14ac:dyDescent="0.25">
      <c r="A60" s="8"/>
      <c r="B60" s="8"/>
      <c r="C60" s="8"/>
      <c r="D60" s="8"/>
      <c r="E60" s="8"/>
      <c r="F60" s="8"/>
      <c r="G60" s="8"/>
      <c r="H60" s="8"/>
      <c r="I60" s="8"/>
      <c r="J60" s="8"/>
      <c r="K60" s="8"/>
      <c r="L60" s="94"/>
      <c r="M60" s="8"/>
      <c r="N60" s="8"/>
      <c r="O60" s="8"/>
      <c r="P60" s="8"/>
      <c r="Q60" s="8"/>
      <c r="R60" s="8"/>
      <c r="S60" s="8"/>
      <c r="T60" s="8"/>
      <c r="U60" s="8"/>
      <c r="V60" s="8"/>
      <c r="W60" s="8"/>
      <c r="X60" s="8"/>
      <c r="Y60" s="8"/>
      <c r="Z60" s="8"/>
    </row>
    <row r="61" spans="1:26" ht="12.75" customHeight="1" x14ac:dyDescent="0.25">
      <c r="A61" s="8"/>
      <c r="B61" s="8"/>
      <c r="C61" s="8"/>
      <c r="D61" s="8"/>
      <c r="E61" s="8"/>
      <c r="F61" s="8"/>
      <c r="G61" s="8"/>
      <c r="H61" s="8"/>
      <c r="I61" s="8"/>
      <c r="J61" s="8"/>
      <c r="K61" s="8"/>
      <c r="L61" s="94"/>
      <c r="M61" s="8"/>
      <c r="N61" s="8"/>
      <c r="O61" s="8"/>
      <c r="P61" s="8"/>
      <c r="Q61" s="8"/>
      <c r="R61" s="8"/>
      <c r="S61" s="8"/>
      <c r="T61" s="8"/>
      <c r="U61" s="8"/>
      <c r="V61" s="8"/>
      <c r="W61" s="8"/>
      <c r="X61" s="8"/>
      <c r="Y61" s="8"/>
      <c r="Z61" s="8"/>
    </row>
    <row r="62" spans="1:26" ht="12.75" customHeight="1" x14ac:dyDescent="0.25">
      <c r="A62" s="8"/>
      <c r="B62" s="8"/>
      <c r="C62" s="8"/>
      <c r="D62" s="8"/>
      <c r="E62" s="8"/>
      <c r="F62" s="8"/>
      <c r="G62" s="8"/>
      <c r="H62" s="8"/>
      <c r="I62" s="8"/>
      <c r="J62" s="8"/>
      <c r="K62" s="8"/>
      <c r="L62" s="94"/>
      <c r="M62" s="8"/>
      <c r="N62" s="8"/>
      <c r="O62" s="8"/>
      <c r="P62" s="8"/>
      <c r="Q62" s="8"/>
      <c r="R62" s="8"/>
      <c r="S62" s="8"/>
      <c r="T62" s="8"/>
      <c r="U62" s="8"/>
      <c r="V62" s="8"/>
      <c r="W62" s="8"/>
      <c r="X62" s="8"/>
      <c r="Y62" s="8"/>
      <c r="Z62" s="8"/>
    </row>
    <row r="63" spans="1:26" ht="12.75" customHeight="1" x14ac:dyDescent="0.25">
      <c r="A63" s="8"/>
      <c r="B63" s="8"/>
      <c r="C63" s="8"/>
      <c r="D63" s="8"/>
      <c r="E63" s="8"/>
      <c r="F63" s="8"/>
      <c r="G63" s="8"/>
      <c r="H63" s="8"/>
      <c r="I63" s="8"/>
      <c r="J63" s="8"/>
      <c r="K63" s="8"/>
      <c r="L63" s="94"/>
      <c r="M63" s="8"/>
      <c r="N63" s="8"/>
      <c r="O63" s="8"/>
      <c r="P63" s="8"/>
      <c r="Q63" s="8"/>
      <c r="R63" s="8"/>
      <c r="S63" s="8"/>
      <c r="T63" s="8"/>
      <c r="U63" s="8"/>
      <c r="V63" s="8"/>
      <c r="W63" s="8"/>
      <c r="X63" s="8"/>
      <c r="Y63" s="8"/>
      <c r="Z63" s="8"/>
    </row>
    <row r="64" spans="1:26" ht="12.75" customHeight="1" x14ac:dyDescent="0.25">
      <c r="A64" s="8"/>
      <c r="B64" s="8"/>
      <c r="C64" s="8"/>
      <c r="D64" s="8"/>
      <c r="E64" s="8"/>
      <c r="F64" s="8"/>
      <c r="G64" s="8"/>
      <c r="H64" s="8"/>
      <c r="I64" s="8"/>
      <c r="J64" s="8"/>
      <c r="K64" s="8"/>
      <c r="L64" s="94"/>
      <c r="M64" s="8"/>
      <c r="N64" s="8"/>
      <c r="O64" s="8"/>
      <c r="P64" s="8"/>
      <c r="Q64" s="8"/>
      <c r="R64" s="8"/>
      <c r="S64" s="8"/>
      <c r="T64" s="8"/>
      <c r="U64" s="8"/>
      <c r="V64" s="8"/>
      <c r="W64" s="8"/>
      <c r="X64" s="8"/>
      <c r="Y64" s="8"/>
      <c r="Z64" s="8"/>
    </row>
    <row r="65" spans="1:26" ht="12.75" customHeight="1" x14ac:dyDescent="0.25">
      <c r="A65" s="8"/>
      <c r="B65" s="8"/>
      <c r="C65" s="8"/>
      <c r="D65" s="8"/>
      <c r="E65" s="8"/>
      <c r="F65" s="8"/>
      <c r="G65" s="8"/>
      <c r="H65" s="8"/>
      <c r="I65" s="8"/>
      <c r="J65" s="8"/>
      <c r="K65" s="8"/>
      <c r="L65" s="94"/>
      <c r="M65" s="8"/>
      <c r="N65" s="8"/>
      <c r="O65" s="8"/>
      <c r="P65" s="8"/>
      <c r="Q65" s="8"/>
      <c r="R65" s="8"/>
      <c r="S65" s="8"/>
      <c r="T65" s="8"/>
      <c r="U65" s="8"/>
      <c r="V65" s="8"/>
      <c r="W65" s="8"/>
      <c r="X65" s="8"/>
      <c r="Y65" s="8"/>
      <c r="Z65" s="8"/>
    </row>
    <row r="66" spans="1:26" ht="12.75" customHeight="1" x14ac:dyDescent="0.25">
      <c r="A66" s="8"/>
      <c r="B66" s="8"/>
      <c r="C66" s="8"/>
      <c r="D66" s="8"/>
      <c r="E66" s="8"/>
      <c r="F66" s="8"/>
      <c r="G66" s="8"/>
      <c r="H66" s="8"/>
      <c r="I66" s="8"/>
      <c r="J66" s="8"/>
      <c r="K66" s="8"/>
      <c r="L66" s="94"/>
      <c r="M66" s="8"/>
      <c r="N66" s="8"/>
      <c r="O66" s="8"/>
      <c r="P66" s="8"/>
      <c r="Q66" s="8"/>
      <c r="R66" s="8"/>
      <c r="S66" s="8"/>
      <c r="T66" s="8"/>
      <c r="U66" s="8"/>
      <c r="V66" s="8"/>
      <c r="W66" s="8"/>
      <c r="X66" s="8"/>
      <c r="Y66" s="8"/>
      <c r="Z66" s="8"/>
    </row>
    <row r="67" spans="1:26" ht="12.75" customHeight="1" x14ac:dyDescent="0.25">
      <c r="A67" s="8"/>
      <c r="B67" s="8"/>
      <c r="C67" s="8"/>
      <c r="D67" s="8"/>
      <c r="E67" s="8"/>
      <c r="F67" s="8"/>
      <c r="G67" s="8"/>
      <c r="H67" s="8"/>
      <c r="I67" s="8"/>
      <c r="J67" s="8"/>
      <c r="K67" s="8"/>
      <c r="L67" s="94"/>
      <c r="M67" s="8"/>
      <c r="N67" s="8"/>
      <c r="O67" s="8"/>
      <c r="P67" s="8"/>
      <c r="Q67" s="8"/>
      <c r="R67" s="8"/>
      <c r="S67" s="8"/>
      <c r="T67" s="8"/>
      <c r="U67" s="8"/>
      <c r="V67" s="8"/>
      <c r="W67" s="8"/>
      <c r="X67" s="8"/>
      <c r="Y67" s="8"/>
      <c r="Z67" s="8"/>
    </row>
    <row r="68" spans="1:26" ht="12.75" customHeight="1" x14ac:dyDescent="0.25">
      <c r="A68" s="8"/>
      <c r="B68" s="8"/>
      <c r="C68" s="8"/>
      <c r="D68" s="8"/>
      <c r="E68" s="8"/>
      <c r="F68" s="8"/>
      <c r="G68" s="8"/>
      <c r="H68" s="8"/>
      <c r="I68" s="8"/>
      <c r="J68" s="8"/>
      <c r="K68" s="8"/>
      <c r="L68" s="94"/>
      <c r="M68" s="8"/>
      <c r="N68" s="8"/>
      <c r="O68" s="8"/>
      <c r="P68" s="8"/>
      <c r="Q68" s="8"/>
      <c r="R68" s="8"/>
      <c r="S68" s="8"/>
      <c r="T68" s="8"/>
      <c r="U68" s="8"/>
      <c r="V68" s="8"/>
      <c r="W68" s="8"/>
      <c r="X68" s="8"/>
      <c r="Y68" s="8"/>
      <c r="Z68" s="8"/>
    </row>
    <row r="69" spans="1:26" ht="12.75" customHeight="1" x14ac:dyDescent="0.25">
      <c r="A69" s="8"/>
      <c r="B69" s="8"/>
      <c r="C69" s="8"/>
      <c r="D69" s="8"/>
      <c r="E69" s="8"/>
      <c r="F69" s="8"/>
      <c r="G69" s="8"/>
      <c r="H69" s="8"/>
      <c r="I69" s="8"/>
      <c r="J69" s="8"/>
      <c r="K69" s="8"/>
      <c r="L69" s="94"/>
      <c r="M69" s="8"/>
      <c r="N69" s="8"/>
      <c r="O69" s="8"/>
      <c r="P69" s="8"/>
      <c r="Q69" s="8"/>
      <c r="R69" s="8"/>
      <c r="S69" s="8"/>
      <c r="T69" s="8"/>
      <c r="U69" s="8"/>
      <c r="V69" s="8"/>
      <c r="W69" s="8"/>
      <c r="X69" s="8"/>
      <c r="Y69" s="8"/>
      <c r="Z69" s="8"/>
    </row>
    <row r="70" spans="1:26" ht="12.75" customHeight="1" x14ac:dyDescent="0.25">
      <c r="A70" s="8"/>
      <c r="B70" s="8"/>
      <c r="C70" s="8"/>
      <c r="D70" s="8"/>
      <c r="E70" s="8"/>
      <c r="F70" s="8"/>
      <c r="G70" s="8"/>
      <c r="H70" s="8"/>
      <c r="I70" s="8"/>
      <c r="J70" s="8"/>
      <c r="K70" s="8"/>
      <c r="L70" s="94"/>
      <c r="M70" s="8"/>
      <c r="N70" s="8"/>
      <c r="O70" s="8"/>
      <c r="P70" s="8"/>
      <c r="Q70" s="8"/>
      <c r="R70" s="8"/>
      <c r="S70" s="8"/>
      <c r="T70" s="8"/>
      <c r="U70" s="8"/>
      <c r="V70" s="8"/>
      <c r="W70" s="8"/>
      <c r="X70" s="8"/>
      <c r="Y70" s="8"/>
      <c r="Z70" s="8"/>
    </row>
    <row r="71" spans="1:26" ht="12.75" customHeight="1" x14ac:dyDescent="0.25">
      <c r="A71" s="8"/>
      <c r="B71" s="8"/>
      <c r="C71" s="8"/>
      <c r="D71" s="8"/>
      <c r="E71" s="8"/>
      <c r="F71" s="8"/>
      <c r="G71" s="8"/>
      <c r="H71" s="8"/>
      <c r="I71" s="8"/>
      <c r="J71" s="8"/>
      <c r="K71" s="8"/>
      <c r="L71" s="94"/>
      <c r="M71" s="8"/>
      <c r="N71" s="8"/>
      <c r="O71" s="8"/>
      <c r="P71" s="8"/>
      <c r="Q71" s="8"/>
      <c r="R71" s="8"/>
      <c r="S71" s="8"/>
      <c r="T71" s="8"/>
      <c r="U71" s="8"/>
      <c r="V71" s="8"/>
      <c r="W71" s="8"/>
      <c r="X71" s="8"/>
      <c r="Y71" s="8"/>
      <c r="Z71" s="8"/>
    </row>
    <row r="72" spans="1:26" ht="12.75" customHeight="1" x14ac:dyDescent="0.25">
      <c r="A72" s="8"/>
      <c r="B72" s="8"/>
      <c r="C72" s="8"/>
      <c r="D72" s="8"/>
      <c r="E72" s="8"/>
      <c r="F72" s="8"/>
      <c r="G72" s="8"/>
      <c r="H72" s="8"/>
      <c r="I72" s="8"/>
      <c r="J72" s="8"/>
      <c r="K72" s="8"/>
      <c r="L72" s="94"/>
      <c r="M72" s="8"/>
      <c r="N72" s="8"/>
      <c r="O72" s="8"/>
      <c r="P72" s="8"/>
      <c r="Q72" s="8"/>
      <c r="R72" s="8"/>
      <c r="S72" s="8"/>
      <c r="T72" s="8"/>
      <c r="U72" s="8"/>
      <c r="V72" s="8"/>
      <c r="W72" s="8"/>
      <c r="X72" s="8"/>
      <c r="Y72" s="8"/>
      <c r="Z72" s="8"/>
    </row>
    <row r="73" spans="1:26" ht="12.75" customHeight="1" x14ac:dyDescent="0.25">
      <c r="A73" s="8"/>
      <c r="B73" s="8"/>
      <c r="C73" s="8"/>
      <c r="D73" s="8"/>
      <c r="E73" s="8"/>
      <c r="F73" s="8"/>
      <c r="G73" s="8"/>
      <c r="H73" s="8"/>
      <c r="I73" s="8"/>
      <c r="J73" s="8"/>
      <c r="K73" s="8"/>
      <c r="L73" s="94"/>
      <c r="M73" s="8"/>
      <c r="N73" s="8"/>
      <c r="O73" s="8"/>
      <c r="P73" s="8"/>
      <c r="Q73" s="8"/>
      <c r="R73" s="8"/>
      <c r="S73" s="8"/>
      <c r="T73" s="8"/>
      <c r="U73" s="8"/>
      <c r="V73" s="8"/>
      <c r="W73" s="8"/>
      <c r="X73" s="8"/>
      <c r="Y73" s="8"/>
      <c r="Z73" s="8"/>
    </row>
    <row r="74" spans="1:26" ht="12.75" customHeight="1" x14ac:dyDescent="0.25">
      <c r="A74" s="8"/>
      <c r="B74" s="8"/>
      <c r="C74" s="8"/>
      <c r="D74" s="8"/>
      <c r="E74" s="8"/>
      <c r="F74" s="8"/>
      <c r="G74" s="8"/>
      <c r="H74" s="8"/>
      <c r="I74" s="8"/>
      <c r="J74" s="8"/>
      <c r="K74" s="8"/>
      <c r="L74" s="94"/>
      <c r="M74" s="8"/>
      <c r="N74" s="8"/>
      <c r="O74" s="8"/>
      <c r="P74" s="8"/>
      <c r="Q74" s="8"/>
      <c r="R74" s="8"/>
      <c r="S74" s="8"/>
      <c r="T74" s="8"/>
      <c r="U74" s="8"/>
      <c r="V74" s="8"/>
      <c r="W74" s="8"/>
      <c r="X74" s="8"/>
      <c r="Y74" s="8"/>
      <c r="Z74" s="8"/>
    </row>
    <row r="75" spans="1:26" ht="12.75" customHeight="1" x14ac:dyDescent="0.25">
      <c r="A75" s="8"/>
      <c r="B75" s="8"/>
      <c r="C75" s="8"/>
      <c r="D75" s="8"/>
      <c r="E75" s="8"/>
      <c r="F75" s="8"/>
      <c r="G75" s="8"/>
      <c r="H75" s="8"/>
      <c r="I75" s="8"/>
      <c r="J75" s="8"/>
      <c r="K75" s="8"/>
      <c r="L75" s="94"/>
      <c r="M75" s="8"/>
      <c r="N75" s="8"/>
      <c r="O75" s="8"/>
      <c r="P75" s="8"/>
      <c r="Q75" s="8"/>
      <c r="R75" s="8"/>
      <c r="S75" s="8"/>
      <c r="T75" s="8"/>
      <c r="U75" s="8"/>
      <c r="V75" s="8"/>
      <c r="W75" s="8"/>
      <c r="X75" s="8"/>
      <c r="Y75" s="8"/>
      <c r="Z75" s="8"/>
    </row>
    <row r="76" spans="1:26" ht="12.75" customHeight="1" x14ac:dyDescent="0.25">
      <c r="A76" s="8"/>
      <c r="B76" s="8"/>
      <c r="C76" s="8"/>
      <c r="D76" s="8"/>
      <c r="E76" s="8"/>
      <c r="F76" s="8"/>
      <c r="G76" s="8"/>
      <c r="H76" s="8"/>
      <c r="I76" s="8"/>
      <c r="J76" s="8"/>
      <c r="K76" s="8"/>
      <c r="L76" s="94"/>
      <c r="M76" s="8"/>
      <c r="N76" s="8"/>
      <c r="O76" s="8"/>
      <c r="P76" s="8"/>
      <c r="Q76" s="8"/>
      <c r="R76" s="8"/>
      <c r="S76" s="8"/>
      <c r="T76" s="8"/>
      <c r="U76" s="8"/>
      <c r="V76" s="8"/>
      <c r="W76" s="8"/>
      <c r="X76" s="8"/>
      <c r="Y76" s="8"/>
      <c r="Z76" s="8"/>
    </row>
    <row r="77" spans="1:26" ht="12.75" customHeight="1" x14ac:dyDescent="0.25">
      <c r="A77" s="8"/>
      <c r="B77" s="8"/>
      <c r="C77" s="8"/>
      <c r="D77" s="8"/>
      <c r="E77" s="8"/>
      <c r="F77" s="8"/>
      <c r="G77" s="8"/>
      <c r="H77" s="8"/>
      <c r="I77" s="8"/>
      <c r="J77" s="8"/>
      <c r="K77" s="8"/>
      <c r="L77" s="94"/>
      <c r="M77" s="8"/>
      <c r="N77" s="8"/>
      <c r="O77" s="8"/>
      <c r="P77" s="8"/>
      <c r="Q77" s="8"/>
      <c r="R77" s="8"/>
      <c r="S77" s="8"/>
      <c r="T77" s="8"/>
      <c r="U77" s="8"/>
      <c r="V77" s="8"/>
      <c r="W77" s="8"/>
      <c r="X77" s="8"/>
      <c r="Y77" s="8"/>
      <c r="Z77" s="8"/>
    </row>
    <row r="78" spans="1:26" ht="12.75" customHeight="1" x14ac:dyDescent="0.25">
      <c r="A78" s="8"/>
      <c r="B78" s="8"/>
      <c r="C78" s="8"/>
      <c r="D78" s="8"/>
      <c r="E78" s="8"/>
      <c r="F78" s="8"/>
      <c r="G78" s="8"/>
      <c r="H78" s="8"/>
      <c r="I78" s="8"/>
      <c r="J78" s="8"/>
      <c r="K78" s="8"/>
      <c r="L78" s="94"/>
      <c r="M78" s="8"/>
      <c r="N78" s="8"/>
      <c r="O78" s="8"/>
      <c r="P78" s="8"/>
      <c r="Q78" s="8"/>
      <c r="R78" s="8"/>
      <c r="S78" s="8"/>
      <c r="T78" s="8"/>
      <c r="U78" s="8"/>
      <c r="V78" s="8"/>
      <c r="W78" s="8"/>
      <c r="X78" s="8"/>
      <c r="Y78" s="8"/>
      <c r="Z78" s="8"/>
    </row>
    <row r="79" spans="1:26" ht="12.75" customHeight="1" x14ac:dyDescent="0.25">
      <c r="A79" s="8"/>
      <c r="B79" s="8"/>
      <c r="C79" s="8"/>
      <c r="D79" s="8"/>
      <c r="E79" s="8"/>
      <c r="F79" s="8"/>
      <c r="G79" s="8"/>
      <c r="H79" s="8"/>
      <c r="I79" s="8"/>
      <c r="J79" s="8"/>
      <c r="K79" s="8"/>
      <c r="L79" s="94"/>
      <c r="M79" s="8"/>
      <c r="N79" s="8"/>
      <c r="O79" s="8"/>
      <c r="P79" s="8"/>
      <c r="Q79" s="8"/>
      <c r="R79" s="8"/>
      <c r="S79" s="8"/>
      <c r="T79" s="8"/>
      <c r="U79" s="8"/>
      <c r="V79" s="8"/>
      <c r="W79" s="8"/>
      <c r="X79" s="8"/>
      <c r="Y79" s="8"/>
      <c r="Z79" s="8"/>
    </row>
    <row r="80" spans="1:26" ht="12.75" customHeight="1" x14ac:dyDescent="0.25">
      <c r="A80" s="8"/>
      <c r="B80" s="8"/>
      <c r="C80" s="8"/>
      <c r="D80" s="8"/>
      <c r="E80" s="8"/>
      <c r="F80" s="8"/>
      <c r="G80" s="8"/>
      <c r="H80" s="8"/>
      <c r="I80" s="8"/>
      <c r="J80" s="8"/>
      <c r="K80" s="8"/>
      <c r="L80" s="94"/>
      <c r="M80" s="8"/>
      <c r="N80" s="8"/>
      <c r="O80" s="8"/>
      <c r="P80" s="8"/>
      <c r="Q80" s="8"/>
      <c r="R80" s="8"/>
      <c r="S80" s="8"/>
      <c r="T80" s="8"/>
      <c r="U80" s="8"/>
      <c r="V80" s="8"/>
      <c r="W80" s="8"/>
      <c r="X80" s="8"/>
      <c r="Y80" s="8"/>
      <c r="Z80" s="8"/>
    </row>
    <row r="81" spans="1:26" ht="12.75" customHeight="1" x14ac:dyDescent="0.25">
      <c r="A81" s="8"/>
      <c r="B81" s="8"/>
      <c r="C81" s="8"/>
      <c r="D81" s="8"/>
      <c r="E81" s="8"/>
      <c r="F81" s="8"/>
      <c r="G81" s="8"/>
      <c r="H81" s="8"/>
      <c r="I81" s="8"/>
      <c r="J81" s="8"/>
      <c r="K81" s="8"/>
      <c r="L81" s="94"/>
      <c r="M81" s="8"/>
      <c r="N81" s="8"/>
      <c r="O81" s="8"/>
      <c r="P81" s="8"/>
      <c r="Q81" s="8"/>
      <c r="R81" s="8"/>
      <c r="S81" s="8"/>
      <c r="T81" s="8"/>
      <c r="U81" s="8"/>
      <c r="V81" s="8"/>
      <c r="W81" s="8"/>
      <c r="X81" s="8"/>
      <c r="Y81" s="8"/>
      <c r="Z81" s="8"/>
    </row>
    <row r="82" spans="1:26" ht="12.75" customHeight="1" x14ac:dyDescent="0.25">
      <c r="A82" s="8"/>
      <c r="B82" s="8"/>
      <c r="C82" s="8"/>
      <c r="D82" s="8"/>
      <c r="E82" s="8"/>
      <c r="F82" s="8"/>
      <c r="G82" s="8"/>
      <c r="H82" s="8"/>
      <c r="I82" s="8"/>
      <c r="J82" s="8"/>
      <c r="K82" s="8"/>
      <c r="L82" s="94"/>
      <c r="M82" s="8"/>
      <c r="N82" s="8"/>
      <c r="O82" s="8"/>
      <c r="P82" s="8"/>
      <c r="Q82" s="8"/>
      <c r="R82" s="8"/>
      <c r="S82" s="8"/>
      <c r="T82" s="8"/>
      <c r="U82" s="8"/>
      <c r="V82" s="8"/>
      <c r="W82" s="8"/>
      <c r="X82" s="8"/>
      <c r="Y82" s="8"/>
      <c r="Z82" s="8"/>
    </row>
    <row r="83" spans="1:26" ht="12.75" customHeight="1" x14ac:dyDescent="0.25">
      <c r="A83" s="8"/>
      <c r="B83" s="8"/>
      <c r="C83" s="8"/>
      <c r="D83" s="8"/>
      <c r="E83" s="8"/>
      <c r="F83" s="8"/>
      <c r="G83" s="8"/>
      <c r="H83" s="8"/>
      <c r="I83" s="8"/>
      <c r="J83" s="8"/>
      <c r="K83" s="8"/>
      <c r="L83" s="94"/>
      <c r="M83" s="8"/>
      <c r="N83" s="8"/>
      <c r="O83" s="8"/>
      <c r="P83" s="8"/>
      <c r="Q83" s="8"/>
      <c r="R83" s="8"/>
      <c r="S83" s="8"/>
      <c r="T83" s="8"/>
      <c r="U83" s="8"/>
      <c r="V83" s="8"/>
      <c r="W83" s="8"/>
      <c r="X83" s="8"/>
      <c r="Y83" s="8"/>
      <c r="Z83" s="8"/>
    </row>
    <row r="84" spans="1:26" ht="12.75" customHeight="1" x14ac:dyDescent="0.25">
      <c r="A84" s="8"/>
      <c r="B84" s="8"/>
      <c r="C84" s="8"/>
      <c r="D84" s="8"/>
      <c r="E84" s="8"/>
      <c r="F84" s="8"/>
      <c r="G84" s="8"/>
      <c r="H84" s="8"/>
      <c r="I84" s="8"/>
      <c r="J84" s="8"/>
      <c r="K84" s="8"/>
      <c r="L84" s="94"/>
      <c r="M84" s="8"/>
      <c r="N84" s="8"/>
      <c r="O84" s="8"/>
      <c r="P84" s="8"/>
      <c r="Q84" s="8"/>
      <c r="R84" s="8"/>
      <c r="S84" s="8"/>
      <c r="T84" s="8"/>
      <c r="U84" s="8"/>
      <c r="V84" s="8"/>
      <c r="W84" s="8"/>
      <c r="X84" s="8"/>
      <c r="Y84" s="8"/>
      <c r="Z84" s="8"/>
    </row>
    <row r="85" spans="1:26" ht="12.75" customHeight="1" x14ac:dyDescent="0.25">
      <c r="A85" s="8"/>
      <c r="B85" s="8"/>
      <c r="C85" s="8"/>
      <c r="D85" s="8"/>
      <c r="E85" s="8"/>
      <c r="F85" s="8"/>
      <c r="G85" s="8"/>
      <c r="H85" s="8"/>
      <c r="I85" s="8"/>
      <c r="J85" s="8"/>
      <c r="K85" s="8"/>
      <c r="L85" s="94"/>
      <c r="M85" s="8"/>
      <c r="N85" s="8"/>
      <c r="O85" s="8"/>
      <c r="P85" s="8"/>
      <c r="Q85" s="8"/>
      <c r="R85" s="8"/>
      <c r="S85" s="8"/>
      <c r="T85" s="8"/>
      <c r="U85" s="8"/>
      <c r="V85" s="8"/>
      <c r="W85" s="8"/>
      <c r="X85" s="8"/>
      <c r="Y85" s="8"/>
      <c r="Z85" s="8"/>
    </row>
    <row r="86" spans="1:26" ht="12.75" customHeight="1" x14ac:dyDescent="0.25">
      <c r="A86" s="8"/>
      <c r="B86" s="8"/>
      <c r="C86" s="8"/>
      <c r="D86" s="8"/>
      <c r="E86" s="8"/>
      <c r="F86" s="8"/>
      <c r="G86" s="8"/>
      <c r="H86" s="8"/>
      <c r="I86" s="8"/>
      <c r="J86" s="8"/>
      <c r="K86" s="8"/>
      <c r="L86" s="94"/>
      <c r="M86" s="8"/>
      <c r="N86" s="8"/>
      <c r="O86" s="8"/>
      <c r="P86" s="8"/>
      <c r="Q86" s="8"/>
      <c r="R86" s="8"/>
      <c r="S86" s="8"/>
      <c r="T86" s="8"/>
      <c r="U86" s="8"/>
      <c r="V86" s="8"/>
      <c r="W86" s="8"/>
      <c r="X86" s="8"/>
      <c r="Y86" s="8"/>
      <c r="Z86" s="8"/>
    </row>
    <row r="87" spans="1:26" ht="12.75" customHeight="1" x14ac:dyDescent="0.25">
      <c r="A87" s="8"/>
      <c r="B87" s="8"/>
      <c r="C87" s="8"/>
      <c r="D87" s="8"/>
      <c r="E87" s="8"/>
      <c r="F87" s="8"/>
      <c r="G87" s="8"/>
      <c r="H87" s="8"/>
      <c r="I87" s="8"/>
      <c r="J87" s="8"/>
      <c r="K87" s="8"/>
      <c r="L87" s="94"/>
      <c r="M87" s="8"/>
      <c r="N87" s="8"/>
      <c r="O87" s="8"/>
      <c r="P87" s="8"/>
      <c r="Q87" s="8"/>
      <c r="R87" s="8"/>
      <c r="S87" s="8"/>
      <c r="T87" s="8"/>
      <c r="U87" s="8"/>
      <c r="V87" s="8"/>
      <c r="W87" s="8"/>
      <c r="X87" s="8"/>
      <c r="Y87" s="8"/>
      <c r="Z87" s="8"/>
    </row>
    <row r="88" spans="1:26" ht="12.75" customHeight="1" x14ac:dyDescent="0.25">
      <c r="A88" s="8"/>
      <c r="B88" s="8"/>
      <c r="C88" s="8"/>
      <c r="D88" s="8"/>
      <c r="E88" s="8"/>
      <c r="F88" s="8"/>
      <c r="G88" s="8"/>
      <c r="H88" s="8"/>
      <c r="I88" s="8"/>
      <c r="J88" s="8"/>
      <c r="K88" s="8"/>
      <c r="L88" s="94"/>
      <c r="M88" s="8"/>
      <c r="N88" s="8"/>
      <c r="O88" s="8"/>
      <c r="P88" s="8"/>
      <c r="Q88" s="8"/>
      <c r="R88" s="8"/>
      <c r="S88" s="8"/>
      <c r="T88" s="8"/>
      <c r="U88" s="8"/>
      <c r="V88" s="8"/>
      <c r="W88" s="8"/>
      <c r="X88" s="8"/>
      <c r="Y88" s="8"/>
      <c r="Z88" s="8"/>
    </row>
    <row r="89" spans="1:26" ht="12.75" customHeight="1" x14ac:dyDescent="0.25">
      <c r="A89" s="8"/>
      <c r="B89" s="8"/>
      <c r="C89" s="8"/>
      <c r="D89" s="8"/>
      <c r="E89" s="8"/>
      <c r="F89" s="8"/>
      <c r="G89" s="8"/>
      <c r="H89" s="8"/>
      <c r="I89" s="8"/>
      <c r="J89" s="8"/>
      <c r="K89" s="8"/>
      <c r="L89" s="94"/>
      <c r="M89" s="8"/>
      <c r="N89" s="8"/>
      <c r="O89" s="8"/>
      <c r="P89" s="8"/>
      <c r="Q89" s="8"/>
      <c r="R89" s="8"/>
      <c r="S89" s="8"/>
      <c r="T89" s="8"/>
      <c r="U89" s="8"/>
      <c r="V89" s="8"/>
      <c r="W89" s="8"/>
      <c r="X89" s="8"/>
      <c r="Y89" s="8"/>
      <c r="Z89" s="8"/>
    </row>
    <row r="90" spans="1:26" ht="12.75" customHeight="1" x14ac:dyDescent="0.25">
      <c r="A90" s="8"/>
      <c r="B90" s="8"/>
      <c r="C90" s="8"/>
      <c r="D90" s="8"/>
      <c r="E90" s="8"/>
      <c r="F90" s="8"/>
      <c r="G90" s="8"/>
      <c r="H90" s="8"/>
      <c r="I90" s="8"/>
      <c r="J90" s="8"/>
      <c r="K90" s="8"/>
      <c r="L90" s="94"/>
      <c r="M90" s="8"/>
      <c r="N90" s="8"/>
      <c r="O90" s="8"/>
      <c r="P90" s="8"/>
      <c r="Q90" s="8"/>
      <c r="R90" s="8"/>
      <c r="S90" s="8"/>
      <c r="T90" s="8"/>
      <c r="U90" s="8"/>
      <c r="V90" s="8"/>
      <c r="W90" s="8"/>
      <c r="X90" s="8"/>
      <c r="Y90" s="8"/>
      <c r="Z90" s="8"/>
    </row>
    <row r="91" spans="1:26" ht="12.75" customHeight="1" x14ac:dyDescent="0.25">
      <c r="A91" s="8"/>
      <c r="B91" s="8"/>
      <c r="C91" s="8"/>
      <c r="D91" s="8"/>
      <c r="E91" s="8"/>
      <c r="F91" s="8"/>
      <c r="G91" s="8"/>
      <c r="H91" s="8"/>
      <c r="I91" s="8"/>
      <c r="J91" s="8"/>
      <c r="K91" s="8"/>
      <c r="L91" s="94"/>
      <c r="M91" s="8"/>
      <c r="N91" s="8"/>
      <c r="O91" s="8"/>
      <c r="P91" s="8"/>
      <c r="Q91" s="8"/>
      <c r="R91" s="8"/>
      <c r="S91" s="8"/>
      <c r="T91" s="8"/>
      <c r="U91" s="8"/>
      <c r="V91" s="8"/>
      <c r="W91" s="8"/>
      <c r="X91" s="8"/>
      <c r="Y91" s="8"/>
      <c r="Z91" s="8"/>
    </row>
    <row r="92" spans="1:26" ht="12.75" customHeight="1" x14ac:dyDescent="0.25">
      <c r="A92" s="8"/>
      <c r="B92" s="8"/>
      <c r="C92" s="8"/>
      <c r="D92" s="8"/>
      <c r="E92" s="8"/>
      <c r="F92" s="8"/>
      <c r="G92" s="8"/>
      <c r="H92" s="8"/>
      <c r="I92" s="8"/>
      <c r="J92" s="8"/>
      <c r="K92" s="8"/>
      <c r="L92" s="94"/>
      <c r="M92" s="8"/>
      <c r="N92" s="8"/>
      <c r="O92" s="8"/>
      <c r="P92" s="8"/>
      <c r="Q92" s="8"/>
      <c r="R92" s="8"/>
      <c r="S92" s="8"/>
      <c r="T92" s="8"/>
      <c r="U92" s="8"/>
      <c r="V92" s="8"/>
      <c r="W92" s="8"/>
      <c r="X92" s="8"/>
      <c r="Y92" s="8"/>
      <c r="Z92" s="8"/>
    </row>
    <row r="93" spans="1:26" ht="12.75" customHeight="1" x14ac:dyDescent="0.25">
      <c r="A93" s="8"/>
      <c r="B93" s="8"/>
      <c r="C93" s="8"/>
      <c r="D93" s="8"/>
      <c r="E93" s="8"/>
      <c r="F93" s="8"/>
      <c r="G93" s="8"/>
      <c r="H93" s="8"/>
      <c r="I93" s="8"/>
      <c r="J93" s="8"/>
      <c r="K93" s="8"/>
      <c r="L93" s="94"/>
      <c r="M93" s="8"/>
      <c r="N93" s="8"/>
      <c r="O93" s="8"/>
      <c r="P93" s="8"/>
      <c r="Q93" s="8"/>
      <c r="R93" s="8"/>
      <c r="S93" s="8"/>
      <c r="T93" s="8"/>
      <c r="U93" s="8"/>
      <c r="V93" s="8"/>
      <c r="W93" s="8"/>
      <c r="X93" s="8"/>
      <c r="Y93" s="8"/>
      <c r="Z93" s="8"/>
    </row>
    <row r="94" spans="1:26" ht="12.75" customHeight="1" x14ac:dyDescent="0.25">
      <c r="A94" s="8"/>
      <c r="B94" s="8"/>
      <c r="C94" s="8"/>
      <c r="D94" s="8"/>
      <c r="E94" s="8"/>
      <c r="F94" s="8"/>
      <c r="G94" s="8"/>
      <c r="H94" s="8"/>
      <c r="I94" s="8"/>
      <c r="J94" s="8"/>
      <c r="K94" s="8"/>
      <c r="L94" s="94"/>
      <c r="M94" s="8"/>
      <c r="N94" s="8"/>
      <c r="O94" s="8"/>
      <c r="P94" s="8"/>
      <c r="Q94" s="8"/>
      <c r="R94" s="8"/>
      <c r="S94" s="8"/>
      <c r="T94" s="8"/>
      <c r="U94" s="8"/>
      <c r="V94" s="8"/>
      <c r="W94" s="8"/>
      <c r="X94" s="8"/>
      <c r="Y94" s="8"/>
      <c r="Z94" s="8"/>
    </row>
    <row r="95" spans="1:26" ht="12.75" customHeight="1" x14ac:dyDescent="0.25">
      <c r="A95" s="8"/>
      <c r="B95" s="8"/>
      <c r="C95" s="8"/>
      <c r="D95" s="8"/>
      <c r="E95" s="8"/>
      <c r="F95" s="8"/>
      <c r="G95" s="8"/>
      <c r="H95" s="8"/>
      <c r="I95" s="8"/>
      <c r="J95" s="8"/>
      <c r="K95" s="8"/>
      <c r="L95" s="94"/>
      <c r="M95" s="8"/>
      <c r="N95" s="8"/>
      <c r="O95" s="8"/>
      <c r="P95" s="8"/>
      <c r="Q95" s="8"/>
      <c r="R95" s="8"/>
      <c r="S95" s="8"/>
      <c r="T95" s="8"/>
      <c r="U95" s="8"/>
      <c r="V95" s="8"/>
      <c r="W95" s="8"/>
      <c r="X95" s="8"/>
      <c r="Y95" s="8"/>
      <c r="Z95" s="8"/>
    </row>
    <row r="96" spans="1:26" ht="12.75" customHeight="1" x14ac:dyDescent="0.25">
      <c r="A96" s="8"/>
      <c r="B96" s="8"/>
      <c r="C96" s="8"/>
      <c r="D96" s="8"/>
      <c r="E96" s="8"/>
      <c r="F96" s="8"/>
      <c r="G96" s="8"/>
      <c r="H96" s="8"/>
      <c r="I96" s="8"/>
      <c r="J96" s="8"/>
      <c r="K96" s="8"/>
      <c r="L96" s="94"/>
      <c r="M96" s="8"/>
      <c r="N96" s="8"/>
      <c r="O96" s="8"/>
      <c r="P96" s="8"/>
      <c r="Q96" s="8"/>
      <c r="R96" s="8"/>
      <c r="S96" s="8"/>
      <c r="T96" s="8"/>
      <c r="U96" s="8"/>
      <c r="V96" s="8"/>
      <c r="W96" s="8"/>
      <c r="X96" s="8"/>
      <c r="Y96" s="8"/>
      <c r="Z96" s="8"/>
    </row>
    <row r="97" spans="1:26" ht="12.75" customHeight="1" x14ac:dyDescent="0.25">
      <c r="A97" s="8"/>
      <c r="B97" s="8"/>
      <c r="C97" s="8"/>
      <c r="D97" s="8"/>
      <c r="E97" s="8"/>
      <c r="F97" s="8"/>
      <c r="G97" s="8"/>
      <c r="H97" s="8"/>
      <c r="I97" s="8"/>
      <c r="J97" s="8"/>
      <c r="K97" s="8"/>
      <c r="L97" s="94"/>
      <c r="M97" s="8"/>
      <c r="N97" s="8"/>
      <c r="O97" s="8"/>
      <c r="P97" s="8"/>
      <c r="Q97" s="8"/>
      <c r="R97" s="8"/>
      <c r="S97" s="8"/>
      <c r="T97" s="8"/>
      <c r="U97" s="8"/>
      <c r="V97" s="8"/>
      <c r="W97" s="8"/>
      <c r="X97" s="8"/>
      <c r="Y97" s="8"/>
      <c r="Z97" s="8"/>
    </row>
    <row r="98" spans="1:26" ht="12.75" customHeight="1" x14ac:dyDescent="0.25">
      <c r="A98" s="8"/>
      <c r="B98" s="8"/>
      <c r="C98" s="8"/>
      <c r="D98" s="8"/>
      <c r="E98" s="8"/>
      <c r="F98" s="8"/>
      <c r="G98" s="8"/>
      <c r="H98" s="8"/>
      <c r="I98" s="8"/>
      <c r="J98" s="8"/>
      <c r="K98" s="8"/>
      <c r="L98" s="94"/>
      <c r="M98" s="8"/>
      <c r="N98" s="8"/>
      <c r="O98" s="8"/>
      <c r="P98" s="8"/>
      <c r="Q98" s="8"/>
      <c r="R98" s="8"/>
      <c r="S98" s="8"/>
      <c r="T98" s="8"/>
      <c r="U98" s="8"/>
      <c r="V98" s="8"/>
      <c r="W98" s="8"/>
      <c r="X98" s="8"/>
      <c r="Y98" s="8"/>
      <c r="Z98" s="8"/>
    </row>
    <row r="99" spans="1:26" ht="12.75" customHeight="1" x14ac:dyDescent="0.25">
      <c r="A99" s="8"/>
      <c r="B99" s="8"/>
      <c r="C99" s="8"/>
      <c r="D99" s="8"/>
      <c r="E99" s="8"/>
      <c r="F99" s="8"/>
      <c r="G99" s="8"/>
      <c r="H99" s="8"/>
      <c r="I99" s="8"/>
      <c r="J99" s="8"/>
      <c r="K99" s="8"/>
      <c r="L99" s="94"/>
      <c r="M99" s="8"/>
      <c r="N99" s="8"/>
      <c r="O99" s="8"/>
      <c r="P99" s="8"/>
      <c r="Q99" s="8"/>
      <c r="R99" s="8"/>
      <c r="S99" s="8"/>
      <c r="T99" s="8"/>
      <c r="U99" s="8"/>
      <c r="V99" s="8"/>
      <c r="W99" s="8"/>
      <c r="X99" s="8"/>
      <c r="Y99" s="8"/>
      <c r="Z99" s="8"/>
    </row>
    <row r="100" spans="1:26" ht="12.75" customHeight="1" x14ac:dyDescent="0.25">
      <c r="A100" s="8"/>
      <c r="B100" s="8"/>
      <c r="C100" s="8"/>
      <c r="D100" s="8"/>
      <c r="E100" s="8"/>
      <c r="F100" s="8"/>
      <c r="G100" s="8"/>
      <c r="H100" s="8"/>
      <c r="I100" s="8"/>
      <c r="J100" s="8"/>
      <c r="K100" s="8"/>
      <c r="L100" s="94"/>
      <c r="M100" s="8"/>
      <c r="N100" s="8"/>
      <c r="O100" s="8"/>
      <c r="P100" s="8"/>
      <c r="Q100" s="8"/>
      <c r="R100" s="8"/>
      <c r="S100" s="8"/>
      <c r="T100" s="8"/>
      <c r="U100" s="8"/>
      <c r="V100" s="8"/>
      <c r="W100" s="8"/>
      <c r="X100" s="8"/>
      <c r="Y100" s="8"/>
      <c r="Z100" s="8"/>
    </row>
    <row r="101" spans="1:26" ht="12.75" customHeight="1" x14ac:dyDescent="0.25">
      <c r="A101" s="8"/>
      <c r="B101" s="8"/>
      <c r="C101" s="8"/>
      <c r="D101" s="8"/>
      <c r="E101" s="8"/>
      <c r="F101" s="8"/>
      <c r="G101" s="8"/>
      <c r="H101" s="8"/>
      <c r="I101" s="8"/>
      <c r="J101" s="8"/>
      <c r="K101" s="8"/>
      <c r="L101" s="94"/>
      <c r="M101" s="8"/>
      <c r="N101" s="8"/>
      <c r="O101" s="8"/>
      <c r="P101" s="8"/>
      <c r="Q101" s="8"/>
      <c r="R101" s="8"/>
      <c r="S101" s="8"/>
      <c r="T101" s="8"/>
      <c r="U101" s="8"/>
      <c r="V101" s="8"/>
      <c r="W101" s="8"/>
      <c r="X101" s="8"/>
      <c r="Y101" s="8"/>
      <c r="Z101" s="8"/>
    </row>
    <row r="102" spans="1:26" ht="12.75" customHeight="1" x14ac:dyDescent="0.25">
      <c r="A102" s="8"/>
      <c r="B102" s="8"/>
      <c r="C102" s="8"/>
      <c r="D102" s="8"/>
      <c r="E102" s="8"/>
      <c r="F102" s="8"/>
      <c r="G102" s="8"/>
      <c r="H102" s="8"/>
      <c r="I102" s="8"/>
      <c r="J102" s="8"/>
      <c r="K102" s="8"/>
      <c r="L102" s="94"/>
      <c r="M102" s="8"/>
      <c r="N102" s="8"/>
      <c r="O102" s="8"/>
      <c r="P102" s="8"/>
      <c r="Q102" s="8"/>
      <c r="R102" s="8"/>
      <c r="S102" s="8"/>
      <c r="T102" s="8"/>
      <c r="U102" s="8"/>
      <c r="V102" s="8"/>
      <c r="W102" s="8"/>
      <c r="X102" s="8"/>
      <c r="Y102" s="8"/>
      <c r="Z102" s="8"/>
    </row>
    <row r="103" spans="1:26" ht="12.75" customHeight="1" x14ac:dyDescent="0.25">
      <c r="A103" s="8"/>
      <c r="B103" s="8"/>
      <c r="C103" s="8"/>
      <c r="D103" s="8"/>
      <c r="E103" s="8"/>
      <c r="F103" s="8"/>
      <c r="G103" s="8"/>
      <c r="H103" s="8"/>
      <c r="I103" s="8"/>
      <c r="J103" s="8"/>
      <c r="K103" s="8"/>
      <c r="L103" s="94"/>
      <c r="M103" s="8"/>
      <c r="N103" s="8"/>
      <c r="O103" s="8"/>
      <c r="P103" s="8"/>
      <c r="Q103" s="8"/>
      <c r="R103" s="8"/>
      <c r="S103" s="8"/>
      <c r="T103" s="8"/>
      <c r="U103" s="8"/>
      <c r="V103" s="8"/>
      <c r="W103" s="8"/>
      <c r="X103" s="8"/>
      <c r="Y103" s="8"/>
      <c r="Z103" s="8"/>
    </row>
    <row r="104" spans="1:26" ht="12.75" customHeight="1" x14ac:dyDescent="0.25">
      <c r="A104" s="8"/>
      <c r="B104" s="8"/>
      <c r="C104" s="8"/>
      <c r="D104" s="8"/>
      <c r="E104" s="8"/>
      <c r="F104" s="8"/>
      <c r="G104" s="8"/>
      <c r="H104" s="8"/>
      <c r="I104" s="8"/>
      <c r="J104" s="8"/>
      <c r="K104" s="8"/>
      <c r="L104" s="94"/>
      <c r="M104" s="8"/>
      <c r="N104" s="8"/>
      <c r="O104" s="8"/>
      <c r="P104" s="8"/>
      <c r="Q104" s="8"/>
      <c r="R104" s="8"/>
      <c r="S104" s="8"/>
      <c r="T104" s="8"/>
      <c r="U104" s="8"/>
      <c r="V104" s="8"/>
      <c r="W104" s="8"/>
      <c r="X104" s="8"/>
      <c r="Y104" s="8"/>
      <c r="Z104" s="8"/>
    </row>
    <row r="105" spans="1:26" ht="12.75" customHeight="1" x14ac:dyDescent="0.25">
      <c r="A105" s="8"/>
      <c r="B105" s="8"/>
      <c r="C105" s="8"/>
      <c r="D105" s="8"/>
      <c r="E105" s="8"/>
      <c r="F105" s="8"/>
      <c r="G105" s="8"/>
      <c r="H105" s="8"/>
      <c r="I105" s="8"/>
      <c r="J105" s="8"/>
      <c r="K105" s="8"/>
      <c r="L105" s="94"/>
      <c r="M105" s="8"/>
      <c r="N105" s="8"/>
      <c r="O105" s="8"/>
      <c r="P105" s="8"/>
      <c r="Q105" s="8"/>
      <c r="R105" s="8"/>
      <c r="S105" s="8"/>
      <c r="T105" s="8"/>
      <c r="U105" s="8"/>
      <c r="V105" s="8"/>
      <c r="W105" s="8"/>
      <c r="X105" s="8"/>
      <c r="Y105" s="8"/>
      <c r="Z105" s="8"/>
    </row>
    <row r="106" spans="1:26" ht="12.75" customHeight="1" x14ac:dyDescent="0.25">
      <c r="A106" s="8"/>
      <c r="B106" s="8"/>
      <c r="C106" s="8"/>
      <c r="D106" s="8"/>
      <c r="E106" s="8"/>
      <c r="F106" s="8"/>
      <c r="G106" s="8"/>
      <c r="H106" s="8"/>
      <c r="I106" s="8"/>
      <c r="J106" s="8"/>
      <c r="K106" s="8"/>
      <c r="L106" s="94"/>
      <c r="M106" s="8"/>
      <c r="N106" s="8"/>
      <c r="O106" s="8"/>
      <c r="P106" s="8"/>
      <c r="Q106" s="8"/>
      <c r="R106" s="8"/>
      <c r="S106" s="8"/>
      <c r="T106" s="8"/>
      <c r="U106" s="8"/>
      <c r="V106" s="8"/>
      <c r="W106" s="8"/>
      <c r="X106" s="8"/>
      <c r="Y106" s="8"/>
      <c r="Z106" s="8"/>
    </row>
    <row r="107" spans="1:26" ht="12.75" customHeight="1" x14ac:dyDescent="0.25">
      <c r="A107" s="8"/>
      <c r="B107" s="8"/>
      <c r="C107" s="8"/>
      <c r="D107" s="8"/>
      <c r="E107" s="8"/>
      <c r="F107" s="8"/>
      <c r="G107" s="8"/>
      <c r="H107" s="8"/>
      <c r="I107" s="8"/>
      <c r="J107" s="8"/>
      <c r="K107" s="8"/>
      <c r="L107" s="94"/>
      <c r="M107" s="8"/>
      <c r="N107" s="8"/>
      <c r="O107" s="8"/>
      <c r="P107" s="8"/>
      <c r="Q107" s="8"/>
      <c r="R107" s="8"/>
      <c r="S107" s="8"/>
      <c r="T107" s="8"/>
      <c r="U107" s="8"/>
      <c r="V107" s="8"/>
      <c r="W107" s="8"/>
      <c r="X107" s="8"/>
      <c r="Y107" s="8"/>
      <c r="Z107" s="8"/>
    </row>
    <row r="108" spans="1:26" ht="12.75" customHeight="1" x14ac:dyDescent="0.25">
      <c r="A108" s="8"/>
      <c r="B108" s="8"/>
      <c r="C108" s="8"/>
      <c r="D108" s="8"/>
      <c r="E108" s="8"/>
      <c r="F108" s="8"/>
      <c r="G108" s="8"/>
      <c r="H108" s="8"/>
      <c r="I108" s="8"/>
      <c r="J108" s="8"/>
      <c r="K108" s="8"/>
      <c r="L108" s="94"/>
      <c r="M108" s="8"/>
      <c r="N108" s="8"/>
      <c r="O108" s="8"/>
      <c r="P108" s="8"/>
      <c r="Q108" s="8"/>
      <c r="R108" s="8"/>
      <c r="S108" s="8"/>
      <c r="T108" s="8"/>
      <c r="U108" s="8"/>
      <c r="V108" s="8"/>
      <c r="W108" s="8"/>
      <c r="X108" s="8"/>
      <c r="Y108" s="8"/>
      <c r="Z108" s="8"/>
    </row>
    <row r="109" spans="1:26" ht="12.75" customHeight="1" x14ac:dyDescent="0.25">
      <c r="A109" s="8"/>
      <c r="B109" s="8"/>
      <c r="C109" s="8"/>
      <c r="D109" s="8"/>
      <c r="E109" s="8"/>
      <c r="F109" s="8"/>
      <c r="G109" s="8"/>
      <c r="H109" s="8"/>
      <c r="I109" s="8"/>
      <c r="J109" s="8"/>
      <c r="K109" s="8"/>
      <c r="L109" s="94"/>
      <c r="M109" s="8"/>
      <c r="N109" s="8"/>
      <c r="O109" s="8"/>
      <c r="P109" s="8"/>
      <c r="Q109" s="8"/>
      <c r="R109" s="8"/>
      <c r="S109" s="8"/>
      <c r="T109" s="8"/>
      <c r="U109" s="8"/>
      <c r="V109" s="8"/>
      <c r="W109" s="8"/>
      <c r="X109" s="8"/>
      <c r="Y109" s="8"/>
      <c r="Z109" s="8"/>
    </row>
    <row r="110" spans="1:26" ht="12.75" customHeight="1" x14ac:dyDescent="0.25">
      <c r="A110" s="8"/>
      <c r="B110" s="8"/>
      <c r="C110" s="8"/>
      <c r="D110" s="8"/>
      <c r="E110" s="8"/>
      <c r="F110" s="8"/>
      <c r="G110" s="8"/>
      <c r="H110" s="8"/>
      <c r="I110" s="8"/>
      <c r="J110" s="8"/>
      <c r="K110" s="8"/>
      <c r="L110" s="94"/>
      <c r="M110" s="8"/>
      <c r="N110" s="8"/>
      <c r="O110" s="8"/>
      <c r="P110" s="8"/>
      <c r="Q110" s="8"/>
      <c r="R110" s="8"/>
      <c r="S110" s="8"/>
      <c r="T110" s="8"/>
      <c r="U110" s="8"/>
      <c r="V110" s="8"/>
      <c r="W110" s="8"/>
      <c r="X110" s="8"/>
      <c r="Y110" s="8"/>
      <c r="Z110" s="8"/>
    </row>
    <row r="111" spans="1:26" ht="12.75" customHeight="1" x14ac:dyDescent="0.25">
      <c r="A111" s="8"/>
      <c r="B111" s="8"/>
      <c r="C111" s="8"/>
      <c r="D111" s="8"/>
      <c r="E111" s="8"/>
      <c r="F111" s="8"/>
      <c r="G111" s="8"/>
      <c r="H111" s="8"/>
      <c r="I111" s="8"/>
      <c r="J111" s="8"/>
      <c r="K111" s="8"/>
      <c r="L111" s="94"/>
      <c r="M111" s="8"/>
      <c r="N111" s="8"/>
      <c r="O111" s="8"/>
      <c r="P111" s="8"/>
      <c r="Q111" s="8"/>
      <c r="R111" s="8"/>
      <c r="S111" s="8"/>
      <c r="T111" s="8"/>
      <c r="U111" s="8"/>
      <c r="V111" s="8"/>
      <c r="W111" s="8"/>
      <c r="X111" s="8"/>
      <c r="Y111" s="8"/>
      <c r="Z111" s="8"/>
    </row>
    <row r="112" spans="1:26" ht="12.75" customHeight="1" x14ac:dyDescent="0.25">
      <c r="A112" s="8"/>
      <c r="B112" s="8"/>
      <c r="C112" s="8"/>
      <c r="D112" s="8"/>
      <c r="E112" s="8"/>
      <c r="F112" s="8"/>
      <c r="G112" s="8"/>
      <c r="H112" s="8"/>
      <c r="I112" s="8"/>
      <c r="J112" s="8"/>
      <c r="K112" s="8"/>
      <c r="L112" s="94"/>
      <c r="M112" s="8"/>
      <c r="N112" s="8"/>
      <c r="O112" s="8"/>
      <c r="P112" s="8"/>
      <c r="Q112" s="8"/>
      <c r="R112" s="8"/>
      <c r="S112" s="8"/>
      <c r="T112" s="8"/>
      <c r="U112" s="8"/>
      <c r="V112" s="8"/>
      <c r="W112" s="8"/>
      <c r="X112" s="8"/>
      <c r="Y112" s="8"/>
      <c r="Z112" s="8"/>
    </row>
    <row r="113" spans="1:26" ht="12.75" customHeight="1" x14ac:dyDescent="0.25">
      <c r="A113" s="8"/>
      <c r="B113" s="8"/>
      <c r="C113" s="8"/>
      <c r="D113" s="8"/>
      <c r="E113" s="8"/>
      <c r="F113" s="8"/>
      <c r="G113" s="8"/>
      <c r="H113" s="8"/>
      <c r="I113" s="8"/>
      <c r="J113" s="8"/>
      <c r="K113" s="8"/>
      <c r="L113" s="94"/>
      <c r="M113" s="8"/>
      <c r="N113" s="8"/>
      <c r="O113" s="8"/>
      <c r="P113" s="8"/>
      <c r="Q113" s="8"/>
      <c r="R113" s="8"/>
      <c r="S113" s="8"/>
      <c r="T113" s="8"/>
      <c r="U113" s="8"/>
      <c r="V113" s="8"/>
      <c r="W113" s="8"/>
      <c r="X113" s="8"/>
      <c r="Y113" s="8"/>
      <c r="Z113" s="8"/>
    </row>
    <row r="114" spans="1:26" ht="12.75" customHeight="1" x14ac:dyDescent="0.25">
      <c r="A114" s="8"/>
      <c r="B114" s="8"/>
      <c r="C114" s="8"/>
      <c r="D114" s="8"/>
      <c r="E114" s="8"/>
      <c r="F114" s="8"/>
      <c r="G114" s="8"/>
      <c r="H114" s="8"/>
      <c r="I114" s="8"/>
      <c r="J114" s="8"/>
      <c r="K114" s="8"/>
      <c r="L114" s="94"/>
      <c r="M114" s="8"/>
      <c r="N114" s="8"/>
      <c r="O114" s="8"/>
      <c r="P114" s="8"/>
      <c r="Q114" s="8"/>
      <c r="R114" s="8"/>
      <c r="S114" s="8"/>
      <c r="T114" s="8"/>
      <c r="U114" s="8"/>
      <c r="V114" s="8"/>
      <c r="W114" s="8"/>
      <c r="X114" s="8"/>
      <c r="Y114" s="8"/>
      <c r="Z114" s="8"/>
    </row>
    <row r="115" spans="1:26" ht="12.75" customHeight="1" x14ac:dyDescent="0.25">
      <c r="A115" s="8"/>
      <c r="B115" s="8"/>
      <c r="C115" s="8"/>
      <c r="D115" s="8"/>
      <c r="E115" s="8"/>
      <c r="F115" s="8"/>
      <c r="G115" s="8"/>
      <c r="H115" s="8"/>
      <c r="I115" s="8"/>
      <c r="J115" s="8"/>
      <c r="K115" s="8"/>
      <c r="L115" s="94"/>
      <c r="M115" s="8"/>
      <c r="N115" s="8"/>
      <c r="O115" s="8"/>
      <c r="P115" s="8"/>
      <c r="Q115" s="8"/>
      <c r="R115" s="8"/>
      <c r="S115" s="8"/>
      <c r="T115" s="8"/>
      <c r="U115" s="8"/>
      <c r="V115" s="8"/>
      <c r="W115" s="8"/>
      <c r="X115" s="8"/>
      <c r="Y115" s="8"/>
      <c r="Z115" s="8"/>
    </row>
    <row r="116" spans="1:26" ht="12.75" customHeight="1" x14ac:dyDescent="0.25">
      <c r="A116" s="8"/>
      <c r="B116" s="8"/>
      <c r="C116" s="8"/>
      <c r="D116" s="8"/>
      <c r="E116" s="8"/>
      <c r="F116" s="8"/>
      <c r="G116" s="8"/>
      <c r="H116" s="8"/>
      <c r="I116" s="8"/>
      <c r="J116" s="8"/>
      <c r="K116" s="8"/>
      <c r="L116" s="94"/>
      <c r="M116" s="8"/>
      <c r="N116" s="8"/>
      <c r="O116" s="8"/>
      <c r="P116" s="8"/>
      <c r="Q116" s="8"/>
      <c r="R116" s="8"/>
      <c r="S116" s="8"/>
      <c r="T116" s="8"/>
      <c r="U116" s="8"/>
      <c r="V116" s="8"/>
      <c r="W116" s="8"/>
      <c r="X116" s="8"/>
      <c r="Y116" s="8"/>
      <c r="Z116" s="8"/>
    </row>
    <row r="117" spans="1:26" ht="12.75" customHeight="1" x14ac:dyDescent="0.25">
      <c r="A117" s="8"/>
      <c r="B117" s="8"/>
      <c r="C117" s="8"/>
      <c r="D117" s="8"/>
      <c r="E117" s="8"/>
      <c r="F117" s="8"/>
      <c r="G117" s="8"/>
      <c r="H117" s="8"/>
      <c r="I117" s="8"/>
      <c r="J117" s="8"/>
      <c r="K117" s="8"/>
      <c r="L117" s="94"/>
      <c r="M117" s="8"/>
      <c r="N117" s="8"/>
      <c r="O117" s="8"/>
      <c r="P117" s="8"/>
      <c r="Q117" s="8"/>
      <c r="R117" s="8"/>
      <c r="S117" s="8"/>
      <c r="T117" s="8"/>
      <c r="U117" s="8"/>
      <c r="V117" s="8"/>
      <c r="W117" s="8"/>
      <c r="X117" s="8"/>
      <c r="Y117" s="8"/>
      <c r="Z117" s="8"/>
    </row>
    <row r="118" spans="1:26" ht="12.75" customHeight="1" x14ac:dyDescent="0.25">
      <c r="A118" s="8"/>
      <c r="B118" s="8"/>
      <c r="C118" s="8"/>
      <c r="D118" s="8"/>
      <c r="E118" s="8"/>
      <c r="F118" s="8"/>
      <c r="G118" s="8"/>
      <c r="H118" s="8"/>
      <c r="I118" s="8"/>
      <c r="J118" s="8"/>
      <c r="K118" s="8"/>
      <c r="L118" s="94"/>
      <c r="M118" s="8"/>
      <c r="N118" s="8"/>
      <c r="O118" s="8"/>
      <c r="P118" s="8"/>
      <c r="Q118" s="8"/>
      <c r="R118" s="8"/>
      <c r="S118" s="8"/>
      <c r="T118" s="8"/>
      <c r="U118" s="8"/>
      <c r="V118" s="8"/>
      <c r="W118" s="8"/>
      <c r="X118" s="8"/>
      <c r="Y118" s="8"/>
      <c r="Z118" s="8"/>
    </row>
    <row r="119" spans="1:26" ht="12.75" customHeight="1" x14ac:dyDescent="0.25">
      <c r="A119" s="8"/>
      <c r="B119" s="8"/>
      <c r="C119" s="8"/>
      <c r="D119" s="8"/>
      <c r="E119" s="8"/>
      <c r="F119" s="8"/>
      <c r="G119" s="8"/>
      <c r="H119" s="8"/>
      <c r="I119" s="8"/>
      <c r="J119" s="8"/>
      <c r="K119" s="8"/>
      <c r="L119" s="94"/>
      <c r="M119" s="8"/>
      <c r="N119" s="8"/>
      <c r="O119" s="8"/>
      <c r="P119" s="8"/>
      <c r="Q119" s="8"/>
      <c r="R119" s="8"/>
      <c r="S119" s="8"/>
      <c r="T119" s="8"/>
      <c r="U119" s="8"/>
      <c r="V119" s="8"/>
      <c r="W119" s="8"/>
      <c r="X119" s="8"/>
      <c r="Y119" s="8"/>
      <c r="Z119" s="8"/>
    </row>
    <row r="120" spans="1:26" ht="12.75" customHeight="1" x14ac:dyDescent="0.25">
      <c r="A120" s="8"/>
      <c r="B120" s="8"/>
      <c r="C120" s="8"/>
      <c r="D120" s="8"/>
      <c r="E120" s="8"/>
      <c r="F120" s="8"/>
      <c r="G120" s="8"/>
      <c r="H120" s="8"/>
      <c r="I120" s="8"/>
      <c r="J120" s="8"/>
      <c r="K120" s="8"/>
      <c r="L120" s="94"/>
      <c r="M120" s="8"/>
      <c r="N120" s="8"/>
      <c r="O120" s="8"/>
      <c r="P120" s="8"/>
      <c r="Q120" s="8"/>
      <c r="R120" s="8"/>
      <c r="S120" s="8"/>
      <c r="T120" s="8"/>
      <c r="U120" s="8"/>
      <c r="V120" s="8"/>
      <c r="W120" s="8"/>
      <c r="X120" s="8"/>
      <c r="Y120" s="8"/>
      <c r="Z120" s="8"/>
    </row>
    <row r="121" spans="1:26" ht="12.75" customHeight="1" x14ac:dyDescent="0.25">
      <c r="A121" s="8"/>
      <c r="B121" s="8"/>
      <c r="C121" s="8"/>
      <c r="D121" s="8"/>
      <c r="E121" s="8"/>
      <c r="F121" s="8"/>
      <c r="G121" s="8"/>
      <c r="H121" s="8"/>
      <c r="I121" s="8"/>
      <c r="J121" s="8"/>
      <c r="K121" s="8"/>
      <c r="L121" s="94"/>
      <c r="M121" s="8"/>
      <c r="N121" s="8"/>
      <c r="O121" s="8"/>
      <c r="P121" s="8"/>
      <c r="Q121" s="8"/>
      <c r="R121" s="8"/>
      <c r="S121" s="8"/>
      <c r="T121" s="8"/>
      <c r="U121" s="8"/>
      <c r="V121" s="8"/>
      <c r="W121" s="8"/>
      <c r="X121" s="8"/>
      <c r="Y121" s="8"/>
      <c r="Z121" s="8"/>
    </row>
    <row r="122" spans="1:26" ht="12.75" customHeight="1" x14ac:dyDescent="0.25">
      <c r="A122" s="8"/>
      <c r="B122" s="8"/>
      <c r="C122" s="8"/>
      <c r="D122" s="8"/>
      <c r="E122" s="8"/>
      <c r="F122" s="8"/>
      <c r="G122" s="8"/>
      <c r="H122" s="8"/>
      <c r="I122" s="8"/>
      <c r="J122" s="8"/>
      <c r="K122" s="8"/>
      <c r="L122" s="94"/>
      <c r="M122" s="8"/>
      <c r="N122" s="8"/>
      <c r="O122" s="8"/>
      <c r="P122" s="8"/>
      <c r="Q122" s="8"/>
      <c r="R122" s="8"/>
      <c r="S122" s="8"/>
      <c r="T122" s="8"/>
      <c r="U122" s="8"/>
      <c r="V122" s="8"/>
      <c r="W122" s="8"/>
      <c r="X122" s="8"/>
      <c r="Y122" s="8"/>
      <c r="Z122" s="8"/>
    </row>
    <row r="123" spans="1:26" ht="12.75" customHeight="1" x14ac:dyDescent="0.25">
      <c r="A123" s="8"/>
      <c r="B123" s="8"/>
      <c r="C123" s="8"/>
      <c r="D123" s="8"/>
      <c r="E123" s="8"/>
      <c r="F123" s="8"/>
      <c r="G123" s="8"/>
      <c r="H123" s="8"/>
      <c r="I123" s="8"/>
      <c r="J123" s="8"/>
      <c r="K123" s="8"/>
      <c r="L123" s="94"/>
      <c r="M123" s="8"/>
      <c r="N123" s="8"/>
      <c r="O123" s="8"/>
      <c r="P123" s="8"/>
      <c r="Q123" s="8"/>
      <c r="R123" s="8"/>
      <c r="S123" s="8"/>
      <c r="T123" s="8"/>
      <c r="U123" s="8"/>
      <c r="V123" s="8"/>
      <c r="W123" s="8"/>
      <c r="X123" s="8"/>
      <c r="Y123" s="8"/>
      <c r="Z123" s="8"/>
    </row>
    <row r="124" spans="1:26" ht="12.75" customHeight="1" x14ac:dyDescent="0.25">
      <c r="A124" s="8"/>
      <c r="B124" s="8"/>
      <c r="C124" s="8"/>
      <c r="D124" s="8"/>
      <c r="E124" s="8"/>
      <c r="F124" s="8"/>
      <c r="G124" s="8"/>
      <c r="H124" s="8"/>
      <c r="I124" s="8"/>
      <c r="J124" s="8"/>
      <c r="K124" s="8"/>
      <c r="L124" s="94"/>
      <c r="M124" s="8"/>
      <c r="N124" s="8"/>
      <c r="O124" s="8"/>
      <c r="P124" s="8"/>
      <c r="Q124" s="8"/>
      <c r="R124" s="8"/>
      <c r="S124" s="8"/>
      <c r="T124" s="8"/>
      <c r="U124" s="8"/>
      <c r="V124" s="8"/>
      <c r="W124" s="8"/>
      <c r="X124" s="8"/>
      <c r="Y124" s="8"/>
      <c r="Z124" s="8"/>
    </row>
    <row r="125" spans="1:26" ht="12.75" customHeight="1" x14ac:dyDescent="0.25">
      <c r="A125" s="8"/>
      <c r="B125" s="8"/>
      <c r="C125" s="8"/>
      <c r="D125" s="8"/>
      <c r="E125" s="8"/>
      <c r="F125" s="8"/>
      <c r="G125" s="8"/>
      <c r="H125" s="8"/>
      <c r="I125" s="8"/>
      <c r="J125" s="8"/>
      <c r="K125" s="8"/>
      <c r="L125" s="94"/>
      <c r="M125" s="8"/>
      <c r="N125" s="8"/>
      <c r="O125" s="8"/>
      <c r="P125" s="8"/>
      <c r="Q125" s="8"/>
      <c r="R125" s="8"/>
      <c r="S125" s="8"/>
      <c r="T125" s="8"/>
      <c r="U125" s="8"/>
      <c r="V125" s="8"/>
      <c r="W125" s="8"/>
      <c r="X125" s="8"/>
      <c r="Y125" s="8"/>
      <c r="Z125" s="8"/>
    </row>
    <row r="126" spans="1:26" ht="12.75" customHeight="1" x14ac:dyDescent="0.25">
      <c r="A126" s="8"/>
      <c r="B126" s="8"/>
      <c r="C126" s="8"/>
      <c r="D126" s="8"/>
      <c r="E126" s="8"/>
      <c r="F126" s="8"/>
      <c r="G126" s="8"/>
      <c r="H126" s="8"/>
      <c r="I126" s="8"/>
      <c r="J126" s="8"/>
      <c r="K126" s="8"/>
      <c r="L126" s="94"/>
      <c r="M126" s="8"/>
      <c r="N126" s="8"/>
      <c r="O126" s="8"/>
      <c r="P126" s="8"/>
      <c r="Q126" s="8"/>
      <c r="R126" s="8"/>
      <c r="S126" s="8"/>
      <c r="T126" s="8"/>
      <c r="U126" s="8"/>
      <c r="V126" s="8"/>
      <c r="W126" s="8"/>
      <c r="X126" s="8"/>
      <c r="Y126" s="8"/>
      <c r="Z126" s="8"/>
    </row>
    <row r="127" spans="1:26" ht="12.75" customHeight="1" x14ac:dyDescent="0.25">
      <c r="A127" s="8"/>
      <c r="B127" s="8"/>
      <c r="C127" s="8"/>
      <c r="D127" s="8"/>
      <c r="E127" s="8"/>
      <c r="F127" s="8"/>
      <c r="G127" s="8"/>
      <c r="H127" s="8"/>
      <c r="I127" s="8"/>
      <c r="J127" s="8"/>
      <c r="K127" s="8"/>
      <c r="L127" s="94"/>
      <c r="M127" s="8"/>
      <c r="N127" s="8"/>
      <c r="O127" s="8"/>
      <c r="P127" s="8"/>
      <c r="Q127" s="8"/>
      <c r="R127" s="8"/>
      <c r="S127" s="8"/>
      <c r="T127" s="8"/>
      <c r="U127" s="8"/>
      <c r="V127" s="8"/>
      <c r="W127" s="8"/>
      <c r="X127" s="8"/>
      <c r="Y127" s="8"/>
      <c r="Z127" s="8"/>
    </row>
    <row r="128" spans="1:26" ht="12.75" customHeight="1" x14ac:dyDescent="0.25">
      <c r="A128" s="8"/>
      <c r="B128" s="8"/>
      <c r="C128" s="8"/>
      <c r="D128" s="8"/>
      <c r="E128" s="8"/>
      <c r="F128" s="8"/>
      <c r="G128" s="8"/>
      <c r="H128" s="8"/>
      <c r="I128" s="8"/>
      <c r="J128" s="8"/>
      <c r="K128" s="8"/>
      <c r="L128" s="94"/>
      <c r="M128" s="8"/>
      <c r="N128" s="8"/>
      <c r="O128" s="8"/>
      <c r="P128" s="8"/>
      <c r="Q128" s="8"/>
      <c r="R128" s="8"/>
      <c r="S128" s="8"/>
      <c r="T128" s="8"/>
      <c r="U128" s="8"/>
      <c r="V128" s="8"/>
      <c r="W128" s="8"/>
      <c r="X128" s="8"/>
      <c r="Y128" s="8"/>
      <c r="Z128" s="8"/>
    </row>
    <row r="129" spans="1:26" ht="12.75" customHeight="1" x14ac:dyDescent="0.25">
      <c r="A129" s="8"/>
      <c r="B129" s="8"/>
      <c r="C129" s="8"/>
      <c r="D129" s="8"/>
      <c r="E129" s="8"/>
      <c r="F129" s="8"/>
      <c r="G129" s="8"/>
      <c r="H129" s="8"/>
      <c r="I129" s="8"/>
      <c r="J129" s="8"/>
      <c r="K129" s="8"/>
      <c r="L129" s="94"/>
      <c r="M129" s="8"/>
      <c r="N129" s="8"/>
      <c r="O129" s="8"/>
      <c r="P129" s="8"/>
      <c r="Q129" s="8"/>
      <c r="R129" s="8"/>
      <c r="S129" s="8"/>
      <c r="T129" s="8"/>
      <c r="U129" s="8"/>
      <c r="V129" s="8"/>
      <c r="W129" s="8"/>
      <c r="X129" s="8"/>
      <c r="Y129" s="8"/>
      <c r="Z129" s="8"/>
    </row>
    <row r="130" spans="1:26" ht="12.75" customHeight="1" x14ac:dyDescent="0.25">
      <c r="A130" s="8"/>
      <c r="B130" s="8"/>
      <c r="C130" s="8"/>
      <c r="D130" s="8"/>
      <c r="E130" s="8"/>
      <c r="F130" s="8"/>
      <c r="G130" s="8"/>
      <c r="H130" s="8"/>
      <c r="I130" s="8"/>
      <c r="J130" s="8"/>
      <c r="K130" s="8"/>
      <c r="L130" s="94"/>
      <c r="M130" s="8"/>
      <c r="N130" s="8"/>
      <c r="O130" s="8"/>
      <c r="P130" s="8"/>
      <c r="Q130" s="8"/>
      <c r="R130" s="8"/>
      <c r="S130" s="8"/>
      <c r="T130" s="8"/>
      <c r="U130" s="8"/>
      <c r="V130" s="8"/>
      <c r="W130" s="8"/>
      <c r="X130" s="8"/>
      <c r="Y130" s="8"/>
      <c r="Z130" s="8"/>
    </row>
    <row r="131" spans="1:26" ht="12.75" customHeight="1" x14ac:dyDescent="0.25">
      <c r="A131" s="8"/>
      <c r="B131" s="8"/>
      <c r="C131" s="8"/>
      <c r="D131" s="8"/>
      <c r="E131" s="8"/>
      <c r="F131" s="8"/>
      <c r="G131" s="8"/>
      <c r="H131" s="8"/>
      <c r="I131" s="8"/>
      <c r="J131" s="8"/>
      <c r="K131" s="8"/>
      <c r="L131" s="94"/>
      <c r="M131" s="8"/>
      <c r="N131" s="8"/>
      <c r="O131" s="8"/>
      <c r="P131" s="8"/>
      <c r="Q131" s="8"/>
      <c r="R131" s="8"/>
      <c r="S131" s="8"/>
      <c r="T131" s="8"/>
      <c r="U131" s="8"/>
      <c r="V131" s="8"/>
      <c r="W131" s="8"/>
      <c r="X131" s="8"/>
      <c r="Y131" s="8"/>
      <c r="Z131" s="8"/>
    </row>
    <row r="132" spans="1:26" ht="12.75" customHeight="1" x14ac:dyDescent="0.25">
      <c r="A132" s="8"/>
      <c r="B132" s="8"/>
      <c r="C132" s="8"/>
      <c r="D132" s="8"/>
      <c r="E132" s="8"/>
      <c r="F132" s="8"/>
      <c r="G132" s="8"/>
      <c r="H132" s="8"/>
      <c r="I132" s="8"/>
      <c r="J132" s="8"/>
      <c r="K132" s="8"/>
      <c r="L132" s="94"/>
      <c r="M132" s="8"/>
      <c r="N132" s="8"/>
      <c r="O132" s="8"/>
      <c r="P132" s="8"/>
      <c r="Q132" s="8"/>
      <c r="R132" s="8"/>
      <c r="S132" s="8"/>
      <c r="T132" s="8"/>
      <c r="U132" s="8"/>
      <c r="V132" s="8"/>
      <c r="W132" s="8"/>
      <c r="X132" s="8"/>
      <c r="Y132" s="8"/>
      <c r="Z132" s="8"/>
    </row>
    <row r="133" spans="1:26" ht="12.75" customHeight="1" x14ac:dyDescent="0.25">
      <c r="A133" s="8"/>
      <c r="B133" s="8"/>
      <c r="C133" s="8"/>
      <c r="D133" s="8"/>
      <c r="E133" s="8"/>
      <c r="F133" s="8"/>
      <c r="G133" s="8"/>
      <c r="H133" s="8"/>
      <c r="I133" s="8"/>
      <c r="J133" s="8"/>
      <c r="K133" s="8"/>
      <c r="L133" s="94"/>
      <c r="M133" s="8"/>
      <c r="N133" s="8"/>
      <c r="O133" s="8"/>
      <c r="P133" s="8"/>
      <c r="Q133" s="8"/>
      <c r="R133" s="8"/>
      <c r="S133" s="8"/>
      <c r="T133" s="8"/>
      <c r="U133" s="8"/>
      <c r="V133" s="8"/>
      <c r="W133" s="8"/>
      <c r="X133" s="8"/>
      <c r="Y133" s="8"/>
      <c r="Z133" s="8"/>
    </row>
    <row r="134" spans="1:26" ht="12.75" customHeight="1" x14ac:dyDescent="0.25">
      <c r="A134" s="8"/>
      <c r="B134" s="8"/>
      <c r="C134" s="8"/>
      <c r="D134" s="8"/>
      <c r="E134" s="8"/>
      <c r="F134" s="8"/>
      <c r="G134" s="8"/>
      <c r="H134" s="8"/>
      <c r="I134" s="8"/>
      <c r="J134" s="8"/>
      <c r="K134" s="8"/>
      <c r="L134" s="94"/>
      <c r="M134" s="8"/>
      <c r="N134" s="8"/>
      <c r="O134" s="8"/>
      <c r="P134" s="8"/>
      <c r="Q134" s="8"/>
      <c r="R134" s="8"/>
      <c r="S134" s="8"/>
      <c r="T134" s="8"/>
      <c r="U134" s="8"/>
      <c r="V134" s="8"/>
      <c r="W134" s="8"/>
      <c r="X134" s="8"/>
      <c r="Y134" s="8"/>
      <c r="Z134" s="8"/>
    </row>
    <row r="135" spans="1:26" ht="12.75" customHeight="1" x14ac:dyDescent="0.25">
      <c r="A135" s="8"/>
      <c r="B135" s="8"/>
      <c r="C135" s="8"/>
      <c r="D135" s="8"/>
      <c r="E135" s="8"/>
      <c r="F135" s="8"/>
      <c r="G135" s="8"/>
      <c r="H135" s="8"/>
      <c r="I135" s="8"/>
      <c r="J135" s="8"/>
      <c r="K135" s="8"/>
      <c r="L135" s="94"/>
      <c r="M135" s="8"/>
      <c r="N135" s="8"/>
      <c r="O135" s="8"/>
      <c r="P135" s="8"/>
      <c r="Q135" s="8"/>
      <c r="R135" s="8"/>
      <c r="S135" s="8"/>
      <c r="T135" s="8"/>
      <c r="U135" s="8"/>
      <c r="V135" s="8"/>
      <c r="W135" s="8"/>
      <c r="X135" s="8"/>
      <c r="Y135" s="8"/>
      <c r="Z135" s="8"/>
    </row>
    <row r="136" spans="1:26" ht="12.75" customHeight="1" x14ac:dyDescent="0.25">
      <c r="A136" s="8"/>
      <c r="B136" s="8"/>
      <c r="C136" s="8"/>
      <c r="D136" s="8"/>
      <c r="E136" s="8"/>
      <c r="F136" s="8"/>
      <c r="G136" s="8"/>
      <c r="H136" s="8"/>
      <c r="I136" s="8"/>
      <c r="J136" s="8"/>
      <c r="K136" s="8"/>
      <c r="L136" s="94"/>
      <c r="M136" s="8"/>
      <c r="N136" s="8"/>
      <c r="O136" s="8"/>
      <c r="P136" s="8"/>
      <c r="Q136" s="8"/>
      <c r="R136" s="8"/>
      <c r="S136" s="8"/>
      <c r="T136" s="8"/>
      <c r="U136" s="8"/>
      <c r="V136" s="8"/>
      <c r="W136" s="8"/>
      <c r="X136" s="8"/>
      <c r="Y136" s="8"/>
      <c r="Z136" s="8"/>
    </row>
    <row r="137" spans="1:26" ht="12.75" customHeight="1" x14ac:dyDescent="0.25">
      <c r="A137" s="8"/>
      <c r="B137" s="8"/>
      <c r="C137" s="8"/>
      <c r="D137" s="8"/>
      <c r="E137" s="8"/>
      <c r="F137" s="8"/>
      <c r="G137" s="8"/>
      <c r="H137" s="8"/>
      <c r="I137" s="8"/>
      <c r="J137" s="8"/>
      <c r="K137" s="8"/>
      <c r="L137" s="94"/>
      <c r="M137" s="8"/>
      <c r="N137" s="8"/>
      <c r="O137" s="8"/>
      <c r="P137" s="8"/>
      <c r="Q137" s="8"/>
      <c r="R137" s="8"/>
      <c r="S137" s="8"/>
      <c r="T137" s="8"/>
      <c r="U137" s="8"/>
      <c r="V137" s="8"/>
      <c r="W137" s="8"/>
      <c r="X137" s="8"/>
      <c r="Y137" s="8"/>
      <c r="Z137" s="8"/>
    </row>
    <row r="138" spans="1:26" ht="12.75" customHeight="1" x14ac:dyDescent="0.25">
      <c r="A138" s="8"/>
      <c r="B138" s="8"/>
      <c r="C138" s="8"/>
      <c r="D138" s="8"/>
      <c r="E138" s="8"/>
      <c r="F138" s="8"/>
      <c r="G138" s="8"/>
      <c r="H138" s="8"/>
      <c r="I138" s="8"/>
      <c r="J138" s="8"/>
      <c r="K138" s="8"/>
      <c r="L138" s="94"/>
      <c r="M138" s="8"/>
      <c r="N138" s="8"/>
      <c r="O138" s="8"/>
      <c r="P138" s="8"/>
      <c r="Q138" s="8"/>
      <c r="R138" s="8"/>
      <c r="S138" s="8"/>
      <c r="T138" s="8"/>
      <c r="U138" s="8"/>
      <c r="V138" s="8"/>
      <c r="W138" s="8"/>
      <c r="X138" s="8"/>
      <c r="Y138" s="8"/>
      <c r="Z138" s="8"/>
    </row>
    <row r="139" spans="1:26" ht="12.75" customHeight="1" x14ac:dyDescent="0.25">
      <c r="A139" s="8"/>
      <c r="B139" s="8"/>
      <c r="C139" s="8"/>
      <c r="D139" s="8"/>
      <c r="E139" s="8"/>
      <c r="F139" s="8"/>
      <c r="G139" s="8"/>
      <c r="H139" s="8"/>
      <c r="I139" s="8"/>
      <c r="J139" s="8"/>
      <c r="K139" s="8"/>
      <c r="L139" s="94"/>
      <c r="M139" s="8"/>
      <c r="N139" s="8"/>
      <c r="O139" s="8"/>
      <c r="P139" s="8"/>
      <c r="Q139" s="8"/>
      <c r="R139" s="8"/>
      <c r="S139" s="8"/>
      <c r="T139" s="8"/>
      <c r="U139" s="8"/>
      <c r="V139" s="8"/>
      <c r="W139" s="8"/>
      <c r="X139" s="8"/>
      <c r="Y139" s="8"/>
      <c r="Z139" s="8"/>
    </row>
    <row r="140" spans="1:26" ht="12.75" customHeight="1" x14ac:dyDescent="0.25">
      <c r="A140" s="8"/>
      <c r="B140" s="8"/>
      <c r="C140" s="8"/>
      <c r="D140" s="8"/>
      <c r="E140" s="8"/>
      <c r="F140" s="8"/>
      <c r="G140" s="8"/>
      <c r="H140" s="8"/>
      <c r="I140" s="8"/>
      <c r="J140" s="8"/>
      <c r="K140" s="8"/>
      <c r="L140" s="94"/>
      <c r="M140" s="8"/>
      <c r="N140" s="8"/>
      <c r="O140" s="8"/>
      <c r="P140" s="8"/>
      <c r="Q140" s="8"/>
      <c r="R140" s="8"/>
      <c r="S140" s="8"/>
      <c r="T140" s="8"/>
      <c r="U140" s="8"/>
      <c r="V140" s="8"/>
      <c r="W140" s="8"/>
      <c r="X140" s="8"/>
      <c r="Y140" s="8"/>
      <c r="Z140" s="8"/>
    </row>
    <row r="141" spans="1:26" ht="12.75" customHeight="1" x14ac:dyDescent="0.25">
      <c r="A141" s="8"/>
      <c r="B141" s="8"/>
      <c r="C141" s="8"/>
      <c r="D141" s="8"/>
      <c r="E141" s="8"/>
      <c r="F141" s="8"/>
      <c r="G141" s="8"/>
      <c r="H141" s="8"/>
      <c r="I141" s="8"/>
      <c r="J141" s="8"/>
      <c r="K141" s="8"/>
      <c r="L141" s="94"/>
      <c r="M141" s="8"/>
      <c r="N141" s="8"/>
      <c r="O141" s="8"/>
      <c r="P141" s="8"/>
      <c r="Q141" s="8"/>
      <c r="R141" s="8"/>
      <c r="S141" s="8"/>
      <c r="T141" s="8"/>
      <c r="U141" s="8"/>
      <c r="V141" s="8"/>
      <c r="W141" s="8"/>
      <c r="X141" s="8"/>
      <c r="Y141" s="8"/>
      <c r="Z141" s="8"/>
    </row>
    <row r="142" spans="1:26" ht="12.75" customHeight="1" x14ac:dyDescent="0.25">
      <c r="A142" s="8"/>
      <c r="B142" s="8"/>
      <c r="C142" s="8"/>
      <c r="D142" s="8"/>
      <c r="E142" s="8"/>
      <c r="F142" s="8"/>
      <c r="G142" s="8"/>
      <c r="H142" s="8"/>
      <c r="I142" s="8"/>
      <c r="J142" s="8"/>
      <c r="K142" s="8"/>
      <c r="L142" s="94"/>
      <c r="M142" s="8"/>
      <c r="N142" s="8"/>
      <c r="O142" s="8"/>
      <c r="P142" s="8"/>
      <c r="Q142" s="8"/>
      <c r="R142" s="8"/>
      <c r="S142" s="8"/>
      <c r="T142" s="8"/>
      <c r="U142" s="8"/>
      <c r="V142" s="8"/>
      <c r="W142" s="8"/>
      <c r="X142" s="8"/>
      <c r="Y142" s="8"/>
      <c r="Z142" s="8"/>
    </row>
    <row r="143" spans="1:26" ht="12.75" customHeight="1" x14ac:dyDescent="0.25">
      <c r="A143" s="8"/>
      <c r="B143" s="8"/>
      <c r="C143" s="8"/>
      <c r="D143" s="8"/>
      <c r="E143" s="8"/>
      <c r="F143" s="8"/>
      <c r="G143" s="8"/>
      <c r="H143" s="8"/>
      <c r="I143" s="8"/>
      <c r="J143" s="8"/>
      <c r="K143" s="8"/>
      <c r="L143" s="94"/>
      <c r="M143" s="8"/>
      <c r="N143" s="8"/>
      <c r="O143" s="8"/>
      <c r="P143" s="8"/>
      <c r="Q143" s="8"/>
      <c r="R143" s="8"/>
      <c r="S143" s="8"/>
      <c r="T143" s="8"/>
      <c r="U143" s="8"/>
      <c r="V143" s="8"/>
      <c r="W143" s="8"/>
      <c r="X143" s="8"/>
      <c r="Y143" s="8"/>
      <c r="Z143" s="8"/>
    </row>
    <row r="144" spans="1:26" ht="12.75" customHeight="1" x14ac:dyDescent="0.25">
      <c r="A144" s="8"/>
      <c r="B144" s="8"/>
      <c r="C144" s="8"/>
      <c r="D144" s="8"/>
      <c r="E144" s="8"/>
      <c r="F144" s="8"/>
      <c r="G144" s="8"/>
      <c r="H144" s="8"/>
      <c r="I144" s="8"/>
      <c r="J144" s="8"/>
      <c r="K144" s="8"/>
      <c r="L144" s="94"/>
      <c r="M144" s="8"/>
      <c r="N144" s="8"/>
      <c r="O144" s="8"/>
      <c r="P144" s="8"/>
      <c r="Q144" s="8"/>
      <c r="R144" s="8"/>
      <c r="S144" s="8"/>
      <c r="T144" s="8"/>
      <c r="U144" s="8"/>
      <c r="V144" s="8"/>
      <c r="W144" s="8"/>
      <c r="X144" s="8"/>
      <c r="Y144" s="8"/>
      <c r="Z144" s="8"/>
    </row>
    <row r="145" spans="1:26" ht="12.75" customHeight="1" x14ac:dyDescent="0.25">
      <c r="A145" s="8"/>
      <c r="B145" s="8"/>
      <c r="C145" s="8"/>
      <c r="D145" s="8"/>
      <c r="E145" s="8"/>
      <c r="F145" s="8"/>
      <c r="G145" s="8"/>
      <c r="H145" s="8"/>
      <c r="I145" s="8"/>
      <c r="J145" s="8"/>
      <c r="K145" s="8"/>
      <c r="L145" s="94"/>
      <c r="M145" s="8"/>
      <c r="N145" s="8"/>
      <c r="O145" s="8"/>
      <c r="P145" s="8"/>
      <c r="Q145" s="8"/>
      <c r="R145" s="8"/>
      <c r="S145" s="8"/>
      <c r="T145" s="8"/>
      <c r="U145" s="8"/>
      <c r="V145" s="8"/>
      <c r="W145" s="8"/>
      <c r="X145" s="8"/>
      <c r="Y145" s="8"/>
      <c r="Z145" s="8"/>
    </row>
    <row r="146" spans="1:26" ht="12.75" customHeight="1" x14ac:dyDescent="0.25">
      <c r="A146" s="8"/>
      <c r="B146" s="8"/>
      <c r="C146" s="8"/>
      <c r="D146" s="8"/>
      <c r="E146" s="8"/>
      <c r="F146" s="8"/>
      <c r="G146" s="8"/>
      <c r="H146" s="8"/>
      <c r="I146" s="8"/>
      <c r="J146" s="8"/>
      <c r="K146" s="8"/>
      <c r="L146" s="94"/>
      <c r="M146" s="8"/>
      <c r="N146" s="8"/>
      <c r="O146" s="8"/>
      <c r="P146" s="8"/>
      <c r="Q146" s="8"/>
      <c r="R146" s="8"/>
      <c r="S146" s="8"/>
      <c r="T146" s="8"/>
      <c r="U146" s="8"/>
      <c r="V146" s="8"/>
      <c r="W146" s="8"/>
      <c r="X146" s="8"/>
      <c r="Y146" s="8"/>
      <c r="Z146" s="8"/>
    </row>
    <row r="147" spans="1:26" ht="12.75" customHeight="1" x14ac:dyDescent="0.25">
      <c r="A147" s="8"/>
      <c r="B147" s="8"/>
      <c r="C147" s="8"/>
      <c r="D147" s="8"/>
      <c r="E147" s="8"/>
      <c r="F147" s="8"/>
      <c r="G147" s="8"/>
      <c r="H147" s="8"/>
      <c r="I147" s="8"/>
      <c r="J147" s="8"/>
      <c r="K147" s="8"/>
      <c r="L147" s="94"/>
      <c r="M147" s="8"/>
      <c r="N147" s="8"/>
      <c r="O147" s="8"/>
      <c r="P147" s="8"/>
      <c r="Q147" s="8"/>
      <c r="R147" s="8"/>
      <c r="S147" s="8"/>
      <c r="T147" s="8"/>
      <c r="U147" s="8"/>
      <c r="V147" s="8"/>
      <c r="W147" s="8"/>
      <c r="X147" s="8"/>
      <c r="Y147" s="8"/>
      <c r="Z147" s="8"/>
    </row>
    <row r="148" spans="1:26" ht="12.75" customHeight="1" x14ac:dyDescent="0.25">
      <c r="A148" s="8"/>
      <c r="B148" s="8"/>
      <c r="C148" s="8"/>
      <c r="D148" s="8"/>
      <c r="E148" s="8"/>
      <c r="F148" s="8"/>
      <c r="G148" s="8"/>
      <c r="H148" s="8"/>
      <c r="I148" s="8"/>
      <c r="J148" s="8"/>
      <c r="K148" s="8"/>
      <c r="L148" s="94"/>
      <c r="M148" s="8"/>
      <c r="N148" s="8"/>
      <c r="O148" s="8"/>
      <c r="P148" s="8"/>
      <c r="Q148" s="8"/>
      <c r="R148" s="8"/>
      <c r="S148" s="8"/>
      <c r="T148" s="8"/>
      <c r="U148" s="8"/>
      <c r="V148" s="8"/>
      <c r="W148" s="8"/>
      <c r="X148" s="8"/>
      <c r="Y148" s="8"/>
      <c r="Z148" s="8"/>
    </row>
    <row r="149" spans="1:26" ht="12.75" customHeight="1" x14ac:dyDescent="0.25">
      <c r="A149" s="8"/>
      <c r="B149" s="8"/>
      <c r="C149" s="8"/>
      <c r="D149" s="8"/>
      <c r="E149" s="8"/>
      <c r="F149" s="8"/>
      <c r="G149" s="8"/>
      <c r="H149" s="8"/>
      <c r="I149" s="8"/>
      <c r="J149" s="8"/>
      <c r="K149" s="8"/>
      <c r="L149" s="94"/>
      <c r="M149" s="8"/>
      <c r="N149" s="8"/>
      <c r="O149" s="8"/>
      <c r="P149" s="8"/>
      <c r="Q149" s="8"/>
      <c r="R149" s="8"/>
      <c r="S149" s="8"/>
      <c r="T149" s="8"/>
      <c r="U149" s="8"/>
      <c r="V149" s="8"/>
      <c r="W149" s="8"/>
      <c r="X149" s="8"/>
      <c r="Y149" s="8"/>
      <c r="Z149" s="8"/>
    </row>
    <row r="150" spans="1:26" ht="12.75" customHeight="1" x14ac:dyDescent="0.25">
      <c r="A150" s="8"/>
      <c r="B150" s="8"/>
      <c r="C150" s="8"/>
      <c r="D150" s="8"/>
      <c r="E150" s="8"/>
      <c r="F150" s="8"/>
      <c r="G150" s="8"/>
      <c r="H150" s="8"/>
      <c r="I150" s="8"/>
      <c r="J150" s="8"/>
      <c r="K150" s="8"/>
      <c r="L150" s="94"/>
      <c r="M150" s="8"/>
      <c r="N150" s="8"/>
      <c r="O150" s="8"/>
      <c r="P150" s="8"/>
      <c r="Q150" s="8"/>
      <c r="R150" s="8"/>
      <c r="S150" s="8"/>
      <c r="T150" s="8"/>
      <c r="U150" s="8"/>
      <c r="V150" s="8"/>
      <c r="W150" s="8"/>
      <c r="X150" s="8"/>
      <c r="Y150" s="8"/>
      <c r="Z150" s="8"/>
    </row>
    <row r="151" spans="1:26" ht="12.75" customHeight="1" x14ac:dyDescent="0.25">
      <c r="A151" s="8"/>
      <c r="B151" s="8"/>
      <c r="C151" s="8"/>
      <c r="D151" s="8"/>
      <c r="E151" s="8"/>
      <c r="F151" s="8"/>
      <c r="G151" s="8"/>
      <c r="H151" s="8"/>
      <c r="I151" s="8"/>
      <c r="J151" s="8"/>
      <c r="K151" s="8"/>
      <c r="L151" s="94"/>
      <c r="M151" s="8"/>
      <c r="N151" s="8"/>
      <c r="O151" s="8"/>
      <c r="P151" s="8"/>
      <c r="Q151" s="8"/>
      <c r="R151" s="8"/>
      <c r="S151" s="8"/>
      <c r="T151" s="8"/>
      <c r="U151" s="8"/>
      <c r="V151" s="8"/>
      <c r="W151" s="8"/>
      <c r="X151" s="8"/>
      <c r="Y151" s="8"/>
      <c r="Z151" s="8"/>
    </row>
    <row r="152" spans="1:26" ht="12.75" customHeight="1" x14ac:dyDescent="0.25">
      <c r="A152" s="8"/>
      <c r="B152" s="8"/>
      <c r="C152" s="8"/>
      <c r="D152" s="8"/>
      <c r="E152" s="8"/>
      <c r="F152" s="8"/>
      <c r="G152" s="8"/>
      <c r="H152" s="8"/>
      <c r="I152" s="8"/>
      <c r="J152" s="8"/>
      <c r="K152" s="8"/>
      <c r="L152" s="94"/>
      <c r="M152" s="8"/>
      <c r="N152" s="8"/>
      <c r="O152" s="8"/>
      <c r="P152" s="8"/>
      <c r="Q152" s="8"/>
      <c r="R152" s="8"/>
      <c r="S152" s="8"/>
      <c r="T152" s="8"/>
      <c r="U152" s="8"/>
      <c r="V152" s="8"/>
      <c r="W152" s="8"/>
      <c r="X152" s="8"/>
      <c r="Y152" s="8"/>
      <c r="Z152" s="8"/>
    </row>
    <row r="153" spans="1:26" ht="12.75" customHeight="1" x14ac:dyDescent="0.25">
      <c r="A153" s="8"/>
      <c r="B153" s="8"/>
      <c r="C153" s="8"/>
      <c r="D153" s="8"/>
      <c r="E153" s="8"/>
      <c r="F153" s="8"/>
      <c r="G153" s="8"/>
      <c r="H153" s="8"/>
      <c r="I153" s="8"/>
      <c r="J153" s="8"/>
      <c r="K153" s="8"/>
      <c r="L153" s="94"/>
      <c r="M153" s="8"/>
      <c r="N153" s="8"/>
      <c r="O153" s="8"/>
      <c r="P153" s="8"/>
      <c r="Q153" s="8"/>
      <c r="R153" s="8"/>
      <c r="S153" s="8"/>
      <c r="T153" s="8"/>
      <c r="U153" s="8"/>
      <c r="V153" s="8"/>
      <c r="W153" s="8"/>
      <c r="X153" s="8"/>
      <c r="Y153" s="8"/>
      <c r="Z153" s="8"/>
    </row>
    <row r="154" spans="1:26" ht="12.75" customHeight="1" x14ac:dyDescent="0.25">
      <c r="A154" s="8"/>
      <c r="B154" s="8"/>
      <c r="C154" s="8"/>
      <c r="D154" s="8"/>
      <c r="E154" s="8"/>
      <c r="F154" s="8"/>
      <c r="G154" s="8"/>
      <c r="H154" s="8"/>
      <c r="I154" s="8"/>
      <c r="J154" s="8"/>
      <c r="K154" s="8"/>
      <c r="L154" s="94"/>
      <c r="M154" s="8"/>
      <c r="N154" s="8"/>
      <c r="O154" s="8"/>
      <c r="P154" s="8"/>
      <c r="Q154" s="8"/>
      <c r="R154" s="8"/>
      <c r="S154" s="8"/>
      <c r="T154" s="8"/>
      <c r="U154" s="8"/>
      <c r="V154" s="8"/>
      <c r="W154" s="8"/>
      <c r="X154" s="8"/>
      <c r="Y154" s="8"/>
      <c r="Z154" s="8"/>
    </row>
    <row r="155" spans="1:26" ht="12.75" customHeight="1" x14ac:dyDescent="0.25">
      <c r="A155" s="8"/>
      <c r="B155" s="8"/>
      <c r="C155" s="8"/>
      <c r="D155" s="8"/>
      <c r="E155" s="8"/>
      <c r="F155" s="8"/>
      <c r="G155" s="8"/>
      <c r="H155" s="8"/>
      <c r="I155" s="8"/>
      <c r="J155" s="8"/>
      <c r="K155" s="8"/>
      <c r="L155" s="94"/>
      <c r="M155" s="8"/>
      <c r="N155" s="8"/>
      <c r="O155" s="8"/>
      <c r="P155" s="8"/>
      <c r="Q155" s="8"/>
      <c r="R155" s="8"/>
      <c r="S155" s="8"/>
      <c r="T155" s="8"/>
      <c r="U155" s="8"/>
      <c r="V155" s="8"/>
      <c r="W155" s="8"/>
      <c r="X155" s="8"/>
      <c r="Y155" s="8"/>
      <c r="Z155" s="8"/>
    </row>
    <row r="156" spans="1:26" ht="12.75" customHeight="1" x14ac:dyDescent="0.25">
      <c r="A156" s="8"/>
      <c r="B156" s="8"/>
      <c r="C156" s="8"/>
      <c r="D156" s="8"/>
      <c r="E156" s="8"/>
      <c r="F156" s="8"/>
      <c r="G156" s="8"/>
      <c r="H156" s="8"/>
      <c r="I156" s="8"/>
      <c r="J156" s="8"/>
      <c r="K156" s="8"/>
      <c r="L156" s="94"/>
      <c r="M156" s="8"/>
      <c r="N156" s="8"/>
      <c r="O156" s="8"/>
      <c r="P156" s="8"/>
      <c r="Q156" s="8"/>
      <c r="R156" s="8"/>
      <c r="S156" s="8"/>
      <c r="T156" s="8"/>
      <c r="U156" s="8"/>
      <c r="V156" s="8"/>
      <c r="W156" s="8"/>
      <c r="X156" s="8"/>
      <c r="Y156" s="8"/>
      <c r="Z156" s="8"/>
    </row>
    <row r="157" spans="1:26" ht="12.75" customHeight="1" x14ac:dyDescent="0.25">
      <c r="A157" s="8"/>
      <c r="B157" s="8"/>
      <c r="C157" s="8"/>
      <c r="D157" s="8"/>
      <c r="E157" s="8"/>
      <c r="F157" s="8"/>
      <c r="G157" s="8"/>
      <c r="H157" s="8"/>
      <c r="I157" s="8"/>
      <c r="J157" s="8"/>
      <c r="K157" s="8"/>
      <c r="L157" s="94"/>
      <c r="M157" s="8"/>
      <c r="N157" s="8"/>
      <c r="O157" s="8"/>
      <c r="P157" s="8"/>
      <c r="Q157" s="8"/>
      <c r="R157" s="8"/>
      <c r="S157" s="8"/>
      <c r="T157" s="8"/>
      <c r="U157" s="8"/>
      <c r="V157" s="8"/>
      <c r="W157" s="8"/>
      <c r="X157" s="8"/>
      <c r="Y157" s="8"/>
      <c r="Z157" s="8"/>
    </row>
    <row r="158" spans="1:26" ht="12.75" customHeight="1" x14ac:dyDescent="0.25">
      <c r="A158" s="8"/>
      <c r="B158" s="8"/>
      <c r="C158" s="8"/>
      <c r="D158" s="8"/>
      <c r="E158" s="8"/>
      <c r="F158" s="8"/>
      <c r="G158" s="8"/>
      <c r="H158" s="8"/>
      <c r="I158" s="8"/>
      <c r="J158" s="8"/>
      <c r="K158" s="8"/>
      <c r="L158" s="94"/>
      <c r="M158" s="8"/>
      <c r="N158" s="8"/>
      <c r="O158" s="8"/>
      <c r="P158" s="8"/>
      <c r="Q158" s="8"/>
      <c r="R158" s="8"/>
      <c r="S158" s="8"/>
      <c r="T158" s="8"/>
      <c r="U158" s="8"/>
      <c r="V158" s="8"/>
      <c r="W158" s="8"/>
      <c r="X158" s="8"/>
      <c r="Y158" s="8"/>
      <c r="Z158" s="8"/>
    </row>
    <row r="159" spans="1:26" ht="12.75" customHeight="1" x14ac:dyDescent="0.25">
      <c r="A159" s="8"/>
      <c r="B159" s="8"/>
      <c r="C159" s="8"/>
      <c r="D159" s="8"/>
      <c r="E159" s="8"/>
      <c r="F159" s="8"/>
      <c r="G159" s="8"/>
      <c r="H159" s="8"/>
      <c r="I159" s="8"/>
      <c r="J159" s="8"/>
      <c r="K159" s="8"/>
      <c r="L159" s="94"/>
      <c r="M159" s="8"/>
      <c r="N159" s="8"/>
      <c r="O159" s="8"/>
      <c r="P159" s="8"/>
      <c r="Q159" s="8"/>
      <c r="R159" s="8"/>
      <c r="S159" s="8"/>
      <c r="T159" s="8"/>
      <c r="U159" s="8"/>
      <c r="V159" s="8"/>
      <c r="W159" s="8"/>
      <c r="X159" s="8"/>
      <c r="Y159" s="8"/>
      <c r="Z159" s="8"/>
    </row>
    <row r="160" spans="1:26" ht="12.75" customHeight="1" x14ac:dyDescent="0.25">
      <c r="A160" s="8"/>
      <c r="B160" s="8"/>
      <c r="C160" s="8"/>
      <c r="D160" s="8"/>
      <c r="E160" s="8"/>
      <c r="F160" s="8"/>
      <c r="G160" s="8"/>
      <c r="H160" s="8"/>
      <c r="I160" s="8"/>
      <c r="J160" s="8"/>
      <c r="K160" s="8"/>
      <c r="L160" s="94"/>
      <c r="M160" s="8"/>
      <c r="N160" s="8"/>
      <c r="O160" s="8"/>
      <c r="P160" s="8"/>
      <c r="Q160" s="8"/>
      <c r="R160" s="8"/>
      <c r="S160" s="8"/>
      <c r="T160" s="8"/>
      <c r="U160" s="8"/>
      <c r="V160" s="8"/>
      <c r="W160" s="8"/>
      <c r="X160" s="8"/>
      <c r="Y160" s="8"/>
      <c r="Z160" s="8"/>
    </row>
    <row r="161" spans="1:26" ht="12.75" customHeight="1" x14ac:dyDescent="0.25">
      <c r="A161" s="8"/>
      <c r="B161" s="8"/>
      <c r="C161" s="8"/>
      <c r="D161" s="8"/>
      <c r="E161" s="8"/>
      <c r="F161" s="8"/>
      <c r="G161" s="8"/>
      <c r="H161" s="8"/>
      <c r="I161" s="8"/>
      <c r="J161" s="8"/>
      <c r="K161" s="8"/>
      <c r="L161" s="94"/>
      <c r="M161" s="8"/>
      <c r="N161" s="8"/>
      <c r="O161" s="8"/>
      <c r="P161" s="8"/>
      <c r="Q161" s="8"/>
      <c r="R161" s="8"/>
      <c r="S161" s="8"/>
      <c r="T161" s="8"/>
      <c r="U161" s="8"/>
      <c r="V161" s="8"/>
      <c r="W161" s="8"/>
      <c r="X161" s="8"/>
      <c r="Y161" s="8"/>
      <c r="Z161" s="8"/>
    </row>
    <row r="162" spans="1:26" ht="12.75" customHeight="1" x14ac:dyDescent="0.25">
      <c r="A162" s="8"/>
      <c r="B162" s="8"/>
      <c r="C162" s="8"/>
      <c r="D162" s="8"/>
      <c r="E162" s="8"/>
      <c r="F162" s="8"/>
      <c r="G162" s="8"/>
      <c r="H162" s="8"/>
      <c r="I162" s="8"/>
      <c r="J162" s="8"/>
      <c r="K162" s="8"/>
      <c r="L162" s="94"/>
      <c r="M162" s="8"/>
      <c r="N162" s="8"/>
      <c r="O162" s="8"/>
      <c r="P162" s="8"/>
      <c r="Q162" s="8"/>
      <c r="R162" s="8"/>
      <c r="S162" s="8"/>
      <c r="T162" s="8"/>
      <c r="U162" s="8"/>
      <c r="V162" s="8"/>
      <c r="W162" s="8"/>
      <c r="X162" s="8"/>
      <c r="Y162" s="8"/>
      <c r="Z162" s="8"/>
    </row>
    <row r="163" spans="1:26" ht="12.75" customHeight="1" x14ac:dyDescent="0.25">
      <c r="A163" s="8"/>
      <c r="B163" s="8"/>
      <c r="C163" s="8"/>
      <c r="D163" s="8"/>
      <c r="E163" s="8"/>
      <c r="F163" s="8"/>
      <c r="G163" s="8"/>
      <c r="H163" s="8"/>
      <c r="I163" s="8"/>
      <c r="J163" s="8"/>
      <c r="K163" s="8"/>
      <c r="L163" s="94"/>
      <c r="M163" s="8"/>
      <c r="N163" s="8"/>
      <c r="O163" s="8"/>
      <c r="P163" s="8"/>
      <c r="Q163" s="8"/>
      <c r="R163" s="8"/>
      <c r="S163" s="8"/>
      <c r="T163" s="8"/>
      <c r="U163" s="8"/>
      <c r="V163" s="8"/>
      <c r="W163" s="8"/>
      <c r="X163" s="8"/>
      <c r="Y163" s="8"/>
      <c r="Z163" s="8"/>
    </row>
    <row r="164" spans="1:26" ht="12.75" customHeight="1" x14ac:dyDescent="0.25">
      <c r="A164" s="8"/>
      <c r="B164" s="8"/>
      <c r="C164" s="8"/>
      <c r="D164" s="8"/>
      <c r="E164" s="8"/>
      <c r="F164" s="8"/>
      <c r="G164" s="8"/>
      <c r="H164" s="8"/>
      <c r="I164" s="8"/>
      <c r="J164" s="8"/>
      <c r="K164" s="8"/>
      <c r="L164" s="94"/>
      <c r="M164" s="8"/>
      <c r="N164" s="8"/>
      <c r="O164" s="8"/>
      <c r="P164" s="8"/>
      <c r="Q164" s="8"/>
      <c r="R164" s="8"/>
      <c r="S164" s="8"/>
      <c r="T164" s="8"/>
      <c r="U164" s="8"/>
      <c r="V164" s="8"/>
      <c r="W164" s="8"/>
      <c r="X164" s="8"/>
      <c r="Y164" s="8"/>
      <c r="Z164" s="8"/>
    </row>
    <row r="165" spans="1:26" ht="12.75" customHeight="1" x14ac:dyDescent="0.25">
      <c r="A165" s="8"/>
      <c r="B165" s="8"/>
      <c r="C165" s="8"/>
      <c r="D165" s="8"/>
      <c r="E165" s="8"/>
      <c r="F165" s="8"/>
      <c r="G165" s="8"/>
      <c r="H165" s="8"/>
      <c r="I165" s="8"/>
      <c r="J165" s="8"/>
      <c r="K165" s="8"/>
      <c r="L165" s="94"/>
      <c r="M165" s="8"/>
      <c r="N165" s="8"/>
      <c r="O165" s="8"/>
      <c r="P165" s="8"/>
      <c r="Q165" s="8"/>
      <c r="R165" s="8"/>
      <c r="S165" s="8"/>
      <c r="T165" s="8"/>
      <c r="U165" s="8"/>
      <c r="V165" s="8"/>
      <c r="W165" s="8"/>
      <c r="X165" s="8"/>
      <c r="Y165" s="8"/>
      <c r="Z165" s="8"/>
    </row>
    <row r="166" spans="1:26" ht="12.75" customHeight="1" x14ac:dyDescent="0.25">
      <c r="A166" s="8"/>
      <c r="B166" s="8"/>
      <c r="C166" s="8"/>
      <c r="D166" s="8"/>
      <c r="E166" s="8"/>
      <c r="F166" s="8"/>
      <c r="G166" s="8"/>
      <c r="H166" s="8"/>
      <c r="I166" s="8"/>
      <c r="J166" s="8"/>
      <c r="K166" s="8"/>
      <c r="L166" s="94"/>
      <c r="M166" s="8"/>
      <c r="N166" s="8"/>
      <c r="O166" s="8"/>
      <c r="P166" s="8"/>
      <c r="Q166" s="8"/>
      <c r="R166" s="8"/>
      <c r="S166" s="8"/>
      <c r="T166" s="8"/>
      <c r="U166" s="8"/>
      <c r="V166" s="8"/>
      <c r="W166" s="8"/>
      <c r="X166" s="8"/>
      <c r="Y166" s="8"/>
      <c r="Z166" s="8"/>
    </row>
    <row r="167" spans="1:26" ht="12.75" customHeight="1" x14ac:dyDescent="0.25">
      <c r="A167" s="8"/>
      <c r="B167" s="8"/>
      <c r="C167" s="8"/>
      <c r="D167" s="8"/>
      <c r="E167" s="8"/>
      <c r="F167" s="8"/>
      <c r="G167" s="8"/>
      <c r="H167" s="8"/>
      <c r="I167" s="8"/>
      <c r="J167" s="8"/>
      <c r="K167" s="8"/>
      <c r="L167" s="94"/>
      <c r="M167" s="8"/>
      <c r="N167" s="8"/>
      <c r="O167" s="8"/>
      <c r="P167" s="8"/>
      <c r="Q167" s="8"/>
      <c r="R167" s="8"/>
      <c r="S167" s="8"/>
      <c r="T167" s="8"/>
      <c r="U167" s="8"/>
      <c r="V167" s="8"/>
      <c r="W167" s="8"/>
      <c r="X167" s="8"/>
      <c r="Y167" s="8"/>
      <c r="Z167" s="8"/>
    </row>
    <row r="168" spans="1:26" ht="12.75" customHeight="1" x14ac:dyDescent="0.25">
      <c r="A168" s="8"/>
      <c r="B168" s="8"/>
      <c r="C168" s="8"/>
      <c r="D168" s="8"/>
      <c r="E168" s="8"/>
      <c r="F168" s="8"/>
      <c r="G168" s="8"/>
      <c r="H168" s="8"/>
      <c r="I168" s="8"/>
      <c r="J168" s="8"/>
      <c r="K168" s="8"/>
      <c r="L168" s="94"/>
      <c r="M168" s="8"/>
      <c r="N168" s="8"/>
      <c r="O168" s="8"/>
      <c r="P168" s="8"/>
      <c r="Q168" s="8"/>
      <c r="R168" s="8"/>
      <c r="S168" s="8"/>
      <c r="T168" s="8"/>
      <c r="U168" s="8"/>
      <c r="V168" s="8"/>
      <c r="W168" s="8"/>
      <c r="X168" s="8"/>
      <c r="Y168" s="8"/>
      <c r="Z168" s="8"/>
    </row>
    <row r="169" spans="1:26" ht="12.75" customHeight="1" x14ac:dyDescent="0.25">
      <c r="A169" s="8"/>
      <c r="B169" s="8"/>
      <c r="C169" s="8"/>
      <c r="D169" s="8"/>
      <c r="E169" s="8"/>
      <c r="F169" s="8"/>
      <c r="G169" s="8"/>
      <c r="H169" s="8"/>
      <c r="I169" s="8"/>
      <c r="J169" s="8"/>
      <c r="K169" s="8"/>
      <c r="L169" s="94"/>
      <c r="M169" s="8"/>
      <c r="N169" s="8"/>
      <c r="O169" s="8"/>
      <c r="P169" s="8"/>
      <c r="Q169" s="8"/>
      <c r="R169" s="8"/>
      <c r="S169" s="8"/>
      <c r="T169" s="8"/>
      <c r="U169" s="8"/>
      <c r="V169" s="8"/>
      <c r="W169" s="8"/>
      <c r="X169" s="8"/>
      <c r="Y169" s="8"/>
      <c r="Z169" s="8"/>
    </row>
    <row r="170" spans="1:26" ht="12.75" customHeight="1" x14ac:dyDescent="0.25">
      <c r="A170" s="8"/>
      <c r="B170" s="8"/>
      <c r="C170" s="8"/>
      <c r="D170" s="8"/>
      <c r="E170" s="8"/>
      <c r="F170" s="8"/>
      <c r="G170" s="8"/>
      <c r="H170" s="8"/>
      <c r="I170" s="8"/>
      <c r="J170" s="8"/>
      <c r="K170" s="8"/>
      <c r="L170" s="94"/>
      <c r="M170" s="8"/>
      <c r="N170" s="8"/>
      <c r="O170" s="8"/>
      <c r="P170" s="8"/>
      <c r="Q170" s="8"/>
      <c r="R170" s="8"/>
      <c r="S170" s="8"/>
      <c r="T170" s="8"/>
      <c r="U170" s="8"/>
      <c r="V170" s="8"/>
      <c r="W170" s="8"/>
      <c r="X170" s="8"/>
      <c r="Y170" s="8"/>
      <c r="Z170" s="8"/>
    </row>
    <row r="171" spans="1:26" ht="12.75" customHeight="1" x14ac:dyDescent="0.25">
      <c r="A171" s="8"/>
      <c r="B171" s="8"/>
      <c r="C171" s="8"/>
      <c r="D171" s="8"/>
      <c r="E171" s="8"/>
      <c r="F171" s="8"/>
      <c r="G171" s="8"/>
      <c r="H171" s="8"/>
      <c r="I171" s="8"/>
      <c r="J171" s="8"/>
      <c r="K171" s="8"/>
      <c r="L171" s="94"/>
      <c r="M171" s="8"/>
      <c r="N171" s="8"/>
      <c r="O171" s="8"/>
      <c r="P171" s="8"/>
      <c r="Q171" s="8"/>
      <c r="R171" s="8"/>
      <c r="S171" s="8"/>
      <c r="T171" s="8"/>
      <c r="U171" s="8"/>
      <c r="V171" s="8"/>
      <c r="W171" s="8"/>
      <c r="X171" s="8"/>
      <c r="Y171" s="8"/>
      <c r="Z171" s="8"/>
    </row>
    <row r="172" spans="1:26" ht="12.75" customHeight="1" x14ac:dyDescent="0.25">
      <c r="A172" s="8"/>
      <c r="B172" s="8"/>
      <c r="C172" s="8"/>
      <c r="D172" s="8"/>
      <c r="E172" s="8"/>
      <c r="F172" s="8"/>
      <c r="G172" s="8"/>
      <c r="H172" s="8"/>
      <c r="I172" s="8"/>
      <c r="J172" s="8"/>
      <c r="K172" s="8"/>
      <c r="L172" s="94"/>
      <c r="M172" s="8"/>
      <c r="N172" s="8"/>
      <c r="O172" s="8"/>
      <c r="P172" s="8"/>
      <c r="Q172" s="8"/>
      <c r="R172" s="8"/>
      <c r="S172" s="8"/>
      <c r="T172" s="8"/>
      <c r="U172" s="8"/>
      <c r="V172" s="8"/>
      <c r="W172" s="8"/>
      <c r="X172" s="8"/>
      <c r="Y172" s="8"/>
      <c r="Z172" s="8"/>
    </row>
    <row r="173" spans="1:26" ht="12.75" customHeight="1" x14ac:dyDescent="0.25">
      <c r="A173" s="8"/>
      <c r="B173" s="8"/>
      <c r="C173" s="8"/>
      <c r="D173" s="8"/>
      <c r="E173" s="8"/>
      <c r="F173" s="8"/>
      <c r="G173" s="8"/>
      <c r="H173" s="8"/>
      <c r="I173" s="8"/>
      <c r="J173" s="8"/>
      <c r="K173" s="8"/>
      <c r="L173" s="94"/>
      <c r="M173" s="8"/>
      <c r="N173" s="8"/>
      <c r="O173" s="8"/>
      <c r="P173" s="8"/>
      <c r="Q173" s="8"/>
      <c r="R173" s="8"/>
      <c r="S173" s="8"/>
      <c r="T173" s="8"/>
      <c r="U173" s="8"/>
      <c r="V173" s="8"/>
      <c r="W173" s="8"/>
      <c r="X173" s="8"/>
      <c r="Y173" s="8"/>
      <c r="Z173" s="8"/>
    </row>
    <row r="174" spans="1:26" ht="12.75" customHeight="1" x14ac:dyDescent="0.25">
      <c r="A174" s="8"/>
      <c r="B174" s="8"/>
      <c r="C174" s="8"/>
      <c r="D174" s="8"/>
      <c r="E174" s="8"/>
      <c r="F174" s="8"/>
      <c r="G174" s="8"/>
      <c r="H174" s="8"/>
      <c r="I174" s="8"/>
      <c r="J174" s="8"/>
      <c r="K174" s="8"/>
      <c r="L174" s="94"/>
      <c r="M174" s="8"/>
      <c r="N174" s="8"/>
      <c r="O174" s="8"/>
      <c r="P174" s="8"/>
      <c r="Q174" s="8"/>
      <c r="R174" s="8"/>
      <c r="S174" s="8"/>
      <c r="T174" s="8"/>
      <c r="U174" s="8"/>
      <c r="V174" s="8"/>
      <c r="W174" s="8"/>
      <c r="X174" s="8"/>
      <c r="Y174" s="8"/>
      <c r="Z174" s="8"/>
    </row>
    <row r="175" spans="1:26" ht="12.75" customHeight="1" x14ac:dyDescent="0.25">
      <c r="A175" s="8"/>
      <c r="B175" s="8"/>
      <c r="C175" s="8"/>
      <c r="D175" s="8"/>
      <c r="E175" s="8"/>
      <c r="F175" s="8"/>
      <c r="G175" s="8"/>
      <c r="H175" s="8"/>
      <c r="I175" s="8"/>
      <c r="J175" s="8"/>
      <c r="K175" s="8"/>
      <c r="L175" s="94"/>
      <c r="M175" s="8"/>
      <c r="N175" s="8"/>
      <c r="O175" s="8"/>
      <c r="P175" s="8"/>
      <c r="Q175" s="8"/>
      <c r="R175" s="8"/>
      <c r="S175" s="8"/>
      <c r="T175" s="8"/>
      <c r="U175" s="8"/>
      <c r="V175" s="8"/>
      <c r="W175" s="8"/>
      <c r="X175" s="8"/>
      <c r="Y175" s="8"/>
      <c r="Z175" s="8"/>
    </row>
    <row r="176" spans="1:26" ht="12.75" customHeight="1" x14ac:dyDescent="0.25">
      <c r="A176" s="8"/>
      <c r="B176" s="8"/>
      <c r="C176" s="8"/>
      <c r="D176" s="8"/>
      <c r="E176" s="8"/>
      <c r="F176" s="8"/>
      <c r="G176" s="8"/>
      <c r="H176" s="8"/>
      <c r="I176" s="8"/>
      <c r="J176" s="8"/>
      <c r="K176" s="8"/>
      <c r="L176" s="94"/>
      <c r="M176" s="8"/>
      <c r="N176" s="8"/>
      <c r="O176" s="8"/>
      <c r="P176" s="8"/>
      <c r="Q176" s="8"/>
      <c r="R176" s="8"/>
      <c r="S176" s="8"/>
      <c r="T176" s="8"/>
      <c r="U176" s="8"/>
      <c r="V176" s="8"/>
      <c r="W176" s="8"/>
      <c r="X176" s="8"/>
      <c r="Y176" s="8"/>
      <c r="Z176" s="8"/>
    </row>
    <row r="177" spans="1:26" ht="12.75" customHeight="1" x14ac:dyDescent="0.25">
      <c r="A177" s="8"/>
      <c r="B177" s="8"/>
      <c r="C177" s="8"/>
      <c r="D177" s="8"/>
      <c r="E177" s="8"/>
      <c r="F177" s="8"/>
      <c r="G177" s="8"/>
      <c r="H177" s="8"/>
      <c r="I177" s="8"/>
      <c r="J177" s="8"/>
      <c r="K177" s="8"/>
      <c r="L177" s="94"/>
      <c r="M177" s="8"/>
      <c r="N177" s="8"/>
      <c r="O177" s="8"/>
      <c r="P177" s="8"/>
      <c r="Q177" s="8"/>
      <c r="R177" s="8"/>
      <c r="S177" s="8"/>
      <c r="T177" s="8"/>
      <c r="U177" s="8"/>
      <c r="V177" s="8"/>
      <c r="W177" s="8"/>
      <c r="X177" s="8"/>
      <c r="Y177" s="8"/>
      <c r="Z177" s="8"/>
    </row>
    <row r="178" spans="1:26" ht="12.75" customHeight="1" x14ac:dyDescent="0.25">
      <c r="A178" s="8"/>
      <c r="B178" s="8"/>
      <c r="C178" s="8"/>
      <c r="D178" s="8"/>
      <c r="E178" s="8"/>
      <c r="F178" s="8"/>
      <c r="G178" s="8"/>
      <c r="H178" s="8"/>
      <c r="I178" s="8"/>
      <c r="J178" s="8"/>
      <c r="K178" s="8"/>
      <c r="L178" s="94"/>
      <c r="M178" s="8"/>
      <c r="N178" s="8"/>
      <c r="O178" s="8"/>
      <c r="P178" s="8"/>
      <c r="Q178" s="8"/>
      <c r="R178" s="8"/>
      <c r="S178" s="8"/>
      <c r="T178" s="8"/>
      <c r="U178" s="8"/>
      <c r="V178" s="8"/>
      <c r="W178" s="8"/>
      <c r="X178" s="8"/>
      <c r="Y178" s="8"/>
      <c r="Z178" s="8"/>
    </row>
    <row r="179" spans="1:26" ht="12.75" customHeight="1" x14ac:dyDescent="0.25">
      <c r="A179" s="8"/>
      <c r="B179" s="8"/>
      <c r="C179" s="8"/>
      <c r="D179" s="8"/>
      <c r="E179" s="8"/>
      <c r="F179" s="8"/>
      <c r="G179" s="8"/>
      <c r="H179" s="8"/>
      <c r="I179" s="8"/>
      <c r="J179" s="8"/>
      <c r="K179" s="8"/>
      <c r="L179" s="94"/>
      <c r="M179" s="8"/>
      <c r="N179" s="8"/>
      <c r="O179" s="8"/>
      <c r="P179" s="8"/>
      <c r="Q179" s="8"/>
      <c r="R179" s="8"/>
      <c r="S179" s="8"/>
      <c r="T179" s="8"/>
      <c r="U179" s="8"/>
      <c r="V179" s="8"/>
      <c r="W179" s="8"/>
      <c r="X179" s="8"/>
      <c r="Y179" s="8"/>
      <c r="Z179" s="8"/>
    </row>
    <row r="180" spans="1:26" ht="12.75" customHeight="1" x14ac:dyDescent="0.25">
      <c r="A180" s="8"/>
      <c r="B180" s="8"/>
      <c r="C180" s="8"/>
      <c r="D180" s="8"/>
      <c r="E180" s="8"/>
      <c r="F180" s="8"/>
      <c r="G180" s="8"/>
      <c r="H180" s="8"/>
      <c r="I180" s="8"/>
      <c r="J180" s="8"/>
      <c r="K180" s="8"/>
      <c r="L180" s="94"/>
      <c r="M180" s="8"/>
      <c r="N180" s="8"/>
      <c r="O180" s="8"/>
      <c r="P180" s="8"/>
      <c r="Q180" s="8"/>
      <c r="R180" s="8"/>
      <c r="S180" s="8"/>
      <c r="T180" s="8"/>
      <c r="U180" s="8"/>
      <c r="V180" s="8"/>
      <c r="W180" s="8"/>
      <c r="X180" s="8"/>
      <c r="Y180" s="8"/>
      <c r="Z180" s="8"/>
    </row>
    <row r="181" spans="1:26" ht="12.75" customHeight="1" x14ac:dyDescent="0.25">
      <c r="A181" s="8"/>
      <c r="B181" s="8"/>
      <c r="C181" s="8"/>
      <c r="D181" s="8"/>
      <c r="E181" s="8"/>
      <c r="F181" s="8"/>
      <c r="G181" s="8"/>
      <c r="H181" s="8"/>
      <c r="I181" s="8"/>
      <c r="J181" s="8"/>
      <c r="K181" s="8"/>
      <c r="L181" s="94"/>
      <c r="M181" s="8"/>
      <c r="N181" s="8"/>
      <c r="O181" s="8"/>
      <c r="P181" s="8"/>
      <c r="Q181" s="8"/>
      <c r="R181" s="8"/>
      <c r="S181" s="8"/>
      <c r="T181" s="8"/>
      <c r="U181" s="8"/>
      <c r="V181" s="8"/>
      <c r="W181" s="8"/>
      <c r="X181" s="8"/>
      <c r="Y181" s="8"/>
      <c r="Z181" s="8"/>
    </row>
    <row r="182" spans="1:26" ht="12.75" customHeight="1" x14ac:dyDescent="0.25">
      <c r="A182" s="8"/>
      <c r="B182" s="8"/>
      <c r="C182" s="8"/>
      <c r="D182" s="8"/>
      <c r="E182" s="8"/>
      <c r="F182" s="8"/>
      <c r="G182" s="8"/>
      <c r="H182" s="8"/>
      <c r="I182" s="8"/>
      <c r="J182" s="8"/>
      <c r="K182" s="8"/>
      <c r="L182" s="94"/>
      <c r="M182" s="8"/>
      <c r="N182" s="8"/>
      <c r="O182" s="8"/>
      <c r="P182" s="8"/>
      <c r="Q182" s="8"/>
      <c r="R182" s="8"/>
      <c r="S182" s="8"/>
      <c r="T182" s="8"/>
      <c r="U182" s="8"/>
      <c r="V182" s="8"/>
      <c r="W182" s="8"/>
      <c r="X182" s="8"/>
      <c r="Y182" s="8"/>
      <c r="Z182" s="8"/>
    </row>
    <row r="183" spans="1:26" ht="12.75" customHeight="1" x14ac:dyDescent="0.25">
      <c r="A183" s="8"/>
      <c r="B183" s="8"/>
      <c r="C183" s="8"/>
      <c r="D183" s="8"/>
      <c r="E183" s="8"/>
      <c r="F183" s="8"/>
      <c r="G183" s="8"/>
      <c r="H183" s="8"/>
      <c r="I183" s="8"/>
      <c r="J183" s="8"/>
      <c r="K183" s="8"/>
      <c r="L183" s="94"/>
      <c r="M183" s="8"/>
      <c r="N183" s="8"/>
      <c r="O183" s="8"/>
      <c r="P183" s="8"/>
      <c r="Q183" s="8"/>
      <c r="R183" s="8"/>
      <c r="S183" s="8"/>
      <c r="T183" s="8"/>
      <c r="U183" s="8"/>
      <c r="V183" s="8"/>
      <c r="W183" s="8"/>
      <c r="X183" s="8"/>
      <c r="Y183" s="8"/>
      <c r="Z183" s="8"/>
    </row>
    <row r="184" spans="1:26" ht="12.75" customHeight="1" x14ac:dyDescent="0.25">
      <c r="A184" s="8"/>
      <c r="B184" s="8"/>
      <c r="C184" s="8"/>
      <c r="D184" s="8"/>
      <c r="E184" s="8"/>
      <c r="F184" s="8"/>
      <c r="G184" s="8"/>
      <c r="H184" s="8"/>
      <c r="I184" s="8"/>
      <c r="J184" s="8"/>
      <c r="K184" s="8"/>
      <c r="L184" s="94"/>
      <c r="M184" s="8"/>
      <c r="N184" s="8"/>
      <c r="O184" s="8"/>
      <c r="P184" s="8"/>
      <c r="Q184" s="8"/>
      <c r="R184" s="8"/>
      <c r="S184" s="8"/>
      <c r="T184" s="8"/>
      <c r="U184" s="8"/>
      <c r="V184" s="8"/>
      <c r="W184" s="8"/>
      <c r="X184" s="8"/>
      <c r="Y184" s="8"/>
      <c r="Z184" s="8"/>
    </row>
    <row r="185" spans="1:26" ht="12.75" customHeight="1" x14ac:dyDescent="0.25">
      <c r="A185" s="8"/>
      <c r="B185" s="8"/>
      <c r="C185" s="8"/>
      <c r="D185" s="8"/>
      <c r="E185" s="8"/>
      <c r="F185" s="8"/>
      <c r="G185" s="8"/>
      <c r="H185" s="8"/>
      <c r="I185" s="8"/>
      <c r="J185" s="8"/>
      <c r="K185" s="8"/>
      <c r="L185" s="94"/>
      <c r="M185" s="8"/>
      <c r="N185" s="8"/>
      <c r="O185" s="8"/>
      <c r="P185" s="8"/>
      <c r="Q185" s="8"/>
      <c r="R185" s="8"/>
      <c r="S185" s="8"/>
      <c r="T185" s="8"/>
      <c r="U185" s="8"/>
      <c r="V185" s="8"/>
      <c r="W185" s="8"/>
      <c r="X185" s="8"/>
      <c r="Y185" s="8"/>
      <c r="Z185" s="8"/>
    </row>
    <row r="186" spans="1:26" ht="12.75" customHeight="1" x14ac:dyDescent="0.25">
      <c r="A186" s="8"/>
      <c r="B186" s="8"/>
      <c r="C186" s="8"/>
      <c r="D186" s="8"/>
      <c r="E186" s="8"/>
      <c r="F186" s="8"/>
      <c r="G186" s="8"/>
      <c r="H186" s="8"/>
      <c r="I186" s="8"/>
      <c r="J186" s="8"/>
      <c r="K186" s="8"/>
      <c r="L186" s="94"/>
      <c r="M186" s="8"/>
      <c r="N186" s="8"/>
      <c r="O186" s="8"/>
      <c r="P186" s="8"/>
      <c r="Q186" s="8"/>
      <c r="R186" s="8"/>
      <c r="S186" s="8"/>
      <c r="T186" s="8"/>
      <c r="U186" s="8"/>
      <c r="V186" s="8"/>
      <c r="W186" s="8"/>
      <c r="X186" s="8"/>
      <c r="Y186" s="8"/>
      <c r="Z186" s="8"/>
    </row>
    <row r="187" spans="1:26" ht="12.75" customHeight="1" x14ac:dyDescent="0.25">
      <c r="A187" s="8"/>
      <c r="B187" s="8"/>
      <c r="C187" s="8"/>
      <c r="D187" s="8"/>
      <c r="E187" s="8"/>
      <c r="F187" s="8"/>
      <c r="G187" s="8"/>
      <c r="H187" s="8"/>
      <c r="I187" s="8"/>
      <c r="J187" s="8"/>
      <c r="K187" s="8"/>
      <c r="L187" s="94"/>
      <c r="M187" s="8"/>
      <c r="N187" s="8"/>
      <c r="O187" s="8"/>
      <c r="P187" s="8"/>
      <c r="Q187" s="8"/>
      <c r="R187" s="8"/>
      <c r="S187" s="8"/>
      <c r="T187" s="8"/>
      <c r="U187" s="8"/>
      <c r="V187" s="8"/>
      <c r="W187" s="8"/>
      <c r="X187" s="8"/>
      <c r="Y187" s="8"/>
      <c r="Z187" s="8"/>
    </row>
    <row r="188" spans="1:26" ht="12.75" customHeight="1" x14ac:dyDescent="0.25">
      <c r="A188" s="8"/>
      <c r="B188" s="8"/>
      <c r="C188" s="8"/>
      <c r="D188" s="8"/>
      <c r="E188" s="8"/>
      <c r="F188" s="8"/>
      <c r="G188" s="8"/>
      <c r="H188" s="8"/>
      <c r="I188" s="8"/>
      <c r="J188" s="8"/>
      <c r="K188" s="8"/>
      <c r="L188" s="94"/>
      <c r="M188" s="8"/>
      <c r="N188" s="8"/>
      <c r="O188" s="8"/>
      <c r="P188" s="8"/>
      <c r="Q188" s="8"/>
      <c r="R188" s="8"/>
      <c r="S188" s="8"/>
      <c r="T188" s="8"/>
      <c r="U188" s="8"/>
      <c r="V188" s="8"/>
      <c r="W188" s="8"/>
      <c r="X188" s="8"/>
      <c r="Y188" s="8"/>
      <c r="Z188" s="8"/>
    </row>
    <row r="189" spans="1:26" ht="12.75" customHeight="1" x14ac:dyDescent="0.25">
      <c r="A189" s="8"/>
      <c r="B189" s="8"/>
      <c r="C189" s="8"/>
      <c r="D189" s="8"/>
      <c r="E189" s="8"/>
      <c r="F189" s="8"/>
      <c r="G189" s="8"/>
      <c r="H189" s="8"/>
      <c r="I189" s="8"/>
      <c r="J189" s="8"/>
      <c r="K189" s="8"/>
      <c r="L189" s="94"/>
      <c r="M189" s="8"/>
      <c r="N189" s="8"/>
      <c r="O189" s="8"/>
      <c r="P189" s="8"/>
      <c r="Q189" s="8"/>
      <c r="R189" s="8"/>
      <c r="S189" s="8"/>
      <c r="T189" s="8"/>
      <c r="U189" s="8"/>
      <c r="V189" s="8"/>
      <c r="W189" s="8"/>
      <c r="X189" s="8"/>
      <c r="Y189" s="8"/>
      <c r="Z189" s="8"/>
    </row>
    <row r="190" spans="1:26" ht="12.75" customHeight="1" x14ac:dyDescent="0.25">
      <c r="A190" s="8"/>
      <c r="B190" s="8"/>
      <c r="C190" s="8"/>
      <c r="D190" s="8"/>
      <c r="E190" s="8"/>
      <c r="F190" s="8"/>
      <c r="G190" s="8"/>
      <c r="H190" s="8"/>
      <c r="I190" s="8"/>
      <c r="J190" s="8"/>
      <c r="K190" s="8"/>
      <c r="L190" s="94"/>
      <c r="M190" s="8"/>
      <c r="N190" s="8"/>
      <c r="O190" s="8"/>
      <c r="P190" s="8"/>
      <c r="Q190" s="8"/>
      <c r="R190" s="8"/>
      <c r="S190" s="8"/>
      <c r="T190" s="8"/>
      <c r="U190" s="8"/>
      <c r="V190" s="8"/>
      <c r="W190" s="8"/>
      <c r="X190" s="8"/>
      <c r="Y190" s="8"/>
      <c r="Z190" s="8"/>
    </row>
    <row r="191" spans="1:26" ht="12.75" customHeight="1" x14ac:dyDescent="0.25">
      <c r="A191" s="8"/>
      <c r="B191" s="8"/>
      <c r="C191" s="8"/>
      <c r="D191" s="8"/>
      <c r="E191" s="8"/>
      <c r="F191" s="8"/>
      <c r="G191" s="8"/>
      <c r="H191" s="8"/>
      <c r="I191" s="8"/>
      <c r="J191" s="8"/>
      <c r="K191" s="8"/>
      <c r="L191" s="94"/>
      <c r="M191" s="8"/>
      <c r="N191" s="8"/>
      <c r="O191" s="8"/>
      <c r="P191" s="8"/>
      <c r="Q191" s="8"/>
      <c r="R191" s="8"/>
      <c r="S191" s="8"/>
      <c r="T191" s="8"/>
      <c r="U191" s="8"/>
      <c r="V191" s="8"/>
      <c r="W191" s="8"/>
      <c r="X191" s="8"/>
      <c r="Y191" s="8"/>
      <c r="Z191" s="8"/>
    </row>
    <row r="192" spans="1:26" ht="12.75" customHeight="1" x14ac:dyDescent="0.25">
      <c r="A192" s="8"/>
      <c r="B192" s="8"/>
      <c r="C192" s="8"/>
      <c r="D192" s="8"/>
      <c r="E192" s="8"/>
      <c r="F192" s="8"/>
      <c r="G192" s="8"/>
      <c r="H192" s="8"/>
      <c r="I192" s="8"/>
      <c r="J192" s="8"/>
      <c r="K192" s="8"/>
      <c r="L192" s="94"/>
      <c r="M192" s="8"/>
      <c r="N192" s="8"/>
      <c r="O192" s="8"/>
      <c r="P192" s="8"/>
      <c r="Q192" s="8"/>
      <c r="R192" s="8"/>
      <c r="S192" s="8"/>
      <c r="T192" s="8"/>
      <c r="U192" s="8"/>
      <c r="V192" s="8"/>
      <c r="W192" s="8"/>
      <c r="X192" s="8"/>
      <c r="Y192" s="8"/>
      <c r="Z192" s="8"/>
    </row>
    <row r="193" spans="1:26" ht="12.75" customHeight="1" x14ac:dyDescent="0.25">
      <c r="A193" s="8"/>
      <c r="B193" s="8"/>
      <c r="C193" s="8"/>
      <c r="D193" s="8"/>
      <c r="E193" s="8"/>
      <c r="F193" s="8"/>
      <c r="G193" s="8"/>
      <c r="H193" s="8"/>
      <c r="I193" s="8"/>
      <c r="J193" s="8"/>
      <c r="K193" s="8"/>
      <c r="L193" s="94"/>
      <c r="M193" s="8"/>
      <c r="N193" s="8"/>
      <c r="O193" s="8"/>
      <c r="P193" s="8"/>
      <c r="Q193" s="8"/>
      <c r="R193" s="8"/>
      <c r="S193" s="8"/>
      <c r="T193" s="8"/>
      <c r="U193" s="8"/>
      <c r="V193" s="8"/>
      <c r="W193" s="8"/>
      <c r="X193" s="8"/>
      <c r="Y193" s="8"/>
      <c r="Z193" s="8"/>
    </row>
    <row r="194" spans="1:26" ht="12.75" customHeight="1" x14ac:dyDescent="0.25">
      <c r="A194" s="8"/>
      <c r="B194" s="8"/>
      <c r="C194" s="8"/>
      <c r="D194" s="8"/>
      <c r="E194" s="8"/>
      <c r="F194" s="8"/>
      <c r="G194" s="8"/>
      <c r="H194" s="8"/>
      <c r="I194" s="8"/>
      <c r="J194" s="8"/>
      <c r="K194" s="8"/>
      <c r="L194" s="94"/>
      <c r="M194" s="8"/>
      <c r="N194" s="8"/>
      <c r="O194" s="8"/>
      <c r="P194" s="8"/>
      <c r="Q194" s="8"/>
      <c r="R194" s="8"/>
      <c r="S194" s="8"/>
      <c r="T194" s="8"/>
      <c r="U194" s="8"/>
      <c r="V194" s="8"/>
      <c r="W194" s="8"/>
      <c r="X194" s="8"/>
      <c r="Y194" s="8"/>
      <c r="Z194" s="8"/>
    </row>
    <row r="195" spans="1:26" ht="12.75" customHeight="1" x14ac:dyDescent="0.25">
      <c r="A195" s="8"/>
      <c r="B195" s="8"/>
      <c r="C195" s="8"/>
      <c r="D195" s="8"/>
      <c r="E195" s="8"/>
      <c r="F195" s="8"/>
      <c r="G195" s="8"/>
      <c r="H195" s="8"/>
      <c r="I195" s="8"/>
      <c r="J195" s="8"/>
      <c r="K195" s="8"/>
      <c r="L195" s="94"/>
      <c r="M195" s="8"/>
      <c r="N195" s="8"/>
      <c r="O195" s="8"/>
      <c r="P195" s="8"/>
      <c r="Q195" s="8"/>
      <c r="R195" s="8"/>
      <c r="S195" s="8"/>
      <c r="T195" s="8"/>
      <c r="U195" s="8"/>
      <c r="V195" s="8"/>
      <c r="W195" s="8"/>
      <c r="X195" s="8"/>
      <c r="Y195" s="8"/>
      <c r="Z195" s="8"/>
    </row>
    <row r="196" spans="1:26" ht="12.75" customHeight="1" x14ac:dyDescent="0.25">
      <c r="A196" s="8"/>
      <c r="B196" s="8"/>
      <c r="C196" s="8"/>
      <c r="D196" s="8"/>
      <c r="E196" s="8"/>
      <c r="F196" s="8"/>
      <c r="G196" s="8"/>
      <c r="H196" s="8"/>
      <c r="I196" s="8"/>
      <c r="J196" s="8"/>
      <c r="K196" s="8"/>
      <c r="L196" s="94"/>
      <c r="M196" s="8"/>
      <c r="N196" s="8"/>
      <c r="O196" s="8"/>
      <c r="P196" s="8"/>
      <c r="Q196" s="8"/>
      <c r="R196" s="8"/>
      <c r="S196" s="8"/>
      <c r="T196" s="8"/>
      <c r="U196" s="8"/>
      <c r="V196" s="8"/>
      <c r="W196" s="8"/>
      <c r="X196" s="8"/>
      <c r="Y196" s="8"/>
      <c r="Z196" s="8"/>
    </row>
    <row r="197" spans="1:26" ht="12.75" customHeight="1" x14ac:dyDescent="0.25">
      <c r="A197" s="8"/>
      <c r="B197" s="8"/>
      <c r="C197" s="8"/>
      <c r="D197" s="8"/>
      <c r="E197" s="8"/>
      <c r="F197" s="8"/>
      <c r="G197" s="8"/>
      <c r="H197" s="8"/>
      <c r="I197" s="8"/>
      <c r="J197" s="8"/>
      <c r="K197" s="8"/>
      <c r="L197" s="94"/>
      <c r="M197" s="8"/>
      <c r="N197" s="8"/>
      <c r="O197" s="8"/>
      <c r="P197" s="8"/>
      <c r="Q197" s="8"/>
      <c r="R197" s="8"/>
      <c r="S197" s="8"/>
      <c r="T197" s="8"/>
      <c r="U197" s="8"/>
      <c r="V197" s="8"/>
      <c r="W197" s="8"/>
      <c r="X197" s="8"/>
      <c r="Y197" s="8"/>
      <c r="Z197" s="8"/>
    </row>
    <row r="198" spans="1:26" ht="12.75" customHeight="1" x14ac:dyDescent="0.25">
      <c r="A198" s="8"/>
      <c r="B198" s="8"/>
      <c r="C198" s="8"/>
      <c r="D198" s="8"/>
      <c r="E198" s="8"/>
      <c r="F198" s="8"/>
      <c r="G198" s="8"/>
      <c r="H198" s="8"/>
      <c r="I198" s="8"/>
      <c r="J198" s="8"/>
      <c r="K198" s="8"/>
      <c r="L198" s="94"/>
      <c r="M198" s="8"/>
      <c r="N198" s="8"/>
      <c r="O198" s="8"/>
      <c r="P198" s="8"/>
      <c r="Q198" s="8"/>
      <c r="R198" s="8"/>
      <c r="S198" s="8"/>
      <c r="T198" s="8"/>
      <c r="U198" s="8"/>
      <c r="V198" s="8"/>
      <c r="W198" s="8"/>
      <c r="X198" s="8"/>
      <c r="Y198" s="8"/>
      <c r="Z198" s="8"/>
    </row>
    <row r="199" spans="1:26" ht="12.75" customHeight="1" x14ac:dyDescent="0.25">
      <c r="A199" s="8"/>
      <c r="B199" s="8"/>
      <c r="C199" s="8"/>
      <c r="D199" s="8"/>
      <c r="E199" s="8"/>
      <c r="F199" s="8"/>
      <c r="G199" s="8"/>
      <c r="H199" s="8"/>
      <c r="I199" s="8"/>
      <c r="J199" s="8"/>
      <c r="K199" s="8"/>
      <c r="L199" s="94"/>
      <c r="M199" s="8"/>
      <c r="N199" s="8"/>
      <c r="O199" s="8"/>
      <c r="P199" s="8"/>
      <c r="Q199" s="8"/>
      <c r="R199" s="8"/>
      <c r="S199" s="8"/>
      <c r="T199" s="8"/>
      <c r="U199" s="8"/>
      <c r="V199" s="8"/>
      <c r="W199" s="8"/>
      <c r="X199" s="8"/>
      <c r="Y199" s="8"/>
      <c r="Z199" s="8"/>
    </row>
    <row r="200" spans="1:26" ht="12.75" customHeight="1" x14ac:dyDescent="0.25">
      <c r="A200" s="8"/>
      <c r="B200" s="8"/>
      <c r="C200" s="8"/>
      <c r="D200" s="8"/>
      <c r="E200" s="8"/>
      <c r="F200" s="8"/>
      <c r="G200" s="8"/>
      <c r="H200" s="8"/>
      <c r="I200" s="8"/>
      <c r="J200" s="8"/>
      <c r="K200" s="8"/>
      <c r="L200" s="94"/>
      <c r="M200" s="8"/>
      <c r="N200" s="8"/>
      <c r="O200" s="8"/>
      <c r="P200" s="8"/>
      <c r="Q200" s="8"/>
      <c r="R200" s="8"/>
      <c r="S200" s="8"/>
      <c r="T200" s="8"/>
      <c r="U200" s="8"/>
      <c r="V200" s="8"/>
      <c r="W200" s="8"/>
      <c r="X200" s="8"/>
      <c r="Y200" s="8"/>
      <c r="Z200" s="8"/>
    </row>
    <row r="201" spans="1:26" ht="12.75" customHeight="1" x14ac:dyDescent="0.25">
      <c r="A201" s="8"/>
      <c r="B201" s="8"/>
      <c r="C201" s="8"/>
      <c r="D201" s="8"/>
      <c r="E201" s="8"/>
      <c r="F201" s="8"/>
      <c r="G201" s="8"/>
      <c r="H201" s="8"/>
      <c r="I201" s="8"/>
      <c r="J201" s="8"/>
      <c r="K201" s="8"/>
      <c r="L201" s="94"/>
      <c r="M201" s="8"/>
      <c r="N201" s="8"/>
      <c r="O201" s="8"/>
      <c r="P201" s="8"/>
      <c r="Q201" s="8"/>
      <c r="R201" s="8"/>
      <c r="S201" s="8"/>
      <c r="T201" s="8"/>
      <c r="U201" s="8"/>
      <c r="V201" s="8"/>
      <c r="W201" s="8"/>
      <c r="X201" s="8"/>
      <c r="Y201" s="8"/>
      <c r="Z201" s="8"/>
    </row>
    <row r="202" spans="1:26" ht="12.75" customHeight="1" x14ac:dyDescent="0.25">
      <c r="A202" s="8"/>
      <c r="B202" s="8"/>
      <c r="C202" s="8"/>
      <c r="D202" s="8"/>
      <c r="E202" s="8"/>
      <c r="F202" s="8"/>
      <c r="G202" s="8"/>
      <c r="H202" s="8"/>
      <c r="I202" s="8"/>
      <c r="J202" s="8"/>
      <c r="K202" s="8"/>
      <c r="L202" s="94"/>
      <c r="M202" s="8"/>
      <c r="N202" s="8"/>
      <c r="O202" s="8"/>
      <c r="P202" s="8"/>
      <c r="Q202" s="8"/>
      <c r="R202" s="8"/>
      <c r="S202" s="8"/>
      <c r="T202" s="8"/>
      <c r="U202" s="8"/>
      <c r="V202" s="8"/>
      <c r="W202" s="8"/>
      <c r="X202" s="8"/>
      <c r="Y202" s="8"/>
      <c r="Z202" s="8"/>
    </row>
    <row r="203" spans="1:26" ht="12.75" customHeight="1" x14ac:dyDescent="0.25">
      <c r="A203" s="8"/>
      <c r="B203" s="8"/>
      <c r="C203" s="8"/>
      <c r="D203" s="8"/>
      <c r="E203" s="8"/>
      <c r="F203" s="8"/>
      <c r="G203" s="8"/>
      <c r="H203" s="8"/>
      <c r="I203" s="8"/>
      <c r="J203" s="8"/>
      <c r="K203" s="8"/>
      <c r="L203" s="94"/>
      <c r="M203" s="8"/>
      <c r="N203" s="8"/>
      <c r="O203" s="8"/>
      <c r="P203" s="8"/>
      <c r="Q203" s="8"/>
      <c r="R203" s="8"/>
      <c r="S203" s="8"/>
      <c r="T203" s="8"/>
      <c r="U203" s="8"/>
      <c r="V203" s="8"/>
      <c r="W203" s="8"/>
      <c r="X203" s="8"/>
      <c r="Y203" s="8"/>
      <c r="Z203" s="8"/>
    </row>
    <row r="204" spans="1:26" ht="12.75" customHeight="1" x14ac:dyDescent="0.25">
      <c r="A204" s="8"/>
      <c r="B204" s="8"/>
      <c r="C204" s="8"/>
      <c r="D204" s="8"/>
      <c r="E204" s="8"/>
      <c r="F204" s="8"/>
      <c r="G204" s="8"/>
      <c r="H204" s="8"/>
      <c r="I204" s="8"/>
      <c r="J204" s="8"/>
      <c r="K204" s="8"/>
      <c r="L204" s="94"/>
      <c r="M204" s="8"/>
      <c r="N204" s="8"/>
      <c r="O204" s="8"/>
      <c r="P204" s="8"/>
      <c r="Q204" s="8"/>
      <c r="R204" s="8"/>
      <c r="S204" s="8"/>
      <c r="T204" s="8"/>
      <c r="U204" s="8"/>
      <c r="V204" s="8"/>
      <c r="W204" s="8"/>
      <c r="X204" s="8"/>
      <c r="Y204" s="8"/>
      <c r="Z204" s="8"/>
    </row>
    <row r="205" spans="1:26" ht="12.75" customHeight="1" x14ac:dyDescent="0.25">
      <c r="A205" s="8"/>
      <c r="B205" s="8"/>
      <c r="C205" s="8"/>
      <c r="D205" s="8"/>
      <c r="E205" s="8"/>
      <c r="F205" s="8"/>
      <c r="G205" s="8"/>
      <c r="H205" s="8"/>
      <c r="I205" s="8"/>
      <c r="J205" s="8"/>
      <c r="K205" s="8"/>
      <c r="L205" s="94"/>
      <c r="M205" s="8"/>
      <c r="N205" s="8"/>
      <c r="O205" s="8"/>
      <c r="P205" s="8"/>
      <c r="Q205" s="8"/>
      <c r="R205" s="8"/>
      <c r="S205" s="8"/>
      <c r="T205" s="8"/>
      <c r="U205" s="8"/>
      <c r="V205" s="8"/>
      <c r="W205" s="8"/>
      <c r="X205" s="8"/>
      <c r="Y205" s="8"/>
      <c r="Z205" s="8"/>
    </row>
    <row r="206" spans="1:26" ht="12.75" customHeight="1" x14ac:dyDescent="0.25">
      <c r="A206" s="8"/>
      <c r="B206" s="8"/>
      <c r="C206" s="8"/>
      <c r="D206" s="8"/>
      <c r="E206" s="8"/>
      <c r="F206" s="8"/>
      <c r="G206" s="8"/>
      <c r="H206" s="8"/>
      <c r="I206" s="8"/>
      <c r="J206" s="8"/>
      <c r="K206" s="8"/>
      <c r="L206" s="94"/>
      <c r="M206" s="8"/>
      <c r="N206" s="8"/>
      <c r="O206" s="8"/>
      <c r="P206" s="8"/>
      <c r="Q206" s="8"/>
      <c r="R206" s="8"/>
      <c r="S206" s="8"/>
      <c r="T206" s="8"/>
      <c r="U206" s="8"/>
      <c r="V206" s="8"/>
      <c r="W206" s="8"/>
      <c r="X206" s="8"/>
      <c r="Y206" s="8"/>
      <c r="Z206" s="8"/>
    </row>
    <row r="207" spans="1:26" ht="12.75" customHeight="1" x14ac:dyDescent="0.25">
      <c r="A207" s="8"/>
      <c r="B207" s="8"/>
      <c r="C207" s="8"/>
      <c r="D207" s="8"/>
      <c r="E207" s="8"/>
      <c r="F207" s="8"/>
      <c r="G207" s="8"/>
      <c r="H207" s="8"/>
      <c r="I207" s="8"/>
      <c r="J207" s="8"/>
      <c r="K207" s="8"/>
      <c r="L207" s="94"/>
      <c r="M207" s="8"/>
      <c r="N207" s="8"/>
      <c r="O207" s="8"/>
      <c r="P207" s="8"/>
      <c r="Q207" s="8"/>
      <c r="R207" s="8"/>
      <c r="S207" s="8"/>
      <c r="T207" s="8"/>
      <c r="U207" s="8"/>
      <c r="V207" s="8"/>
      <c r="W207" s="8"/>
      <c r="X207" s="8"/>
      <c r="Y207" s="8"/>
      <c r="Z207" s="8"/>
    </row>
    <row r="208" spans="1:26" ht="12.75" customHeight="1" x14ac:dyDescent="0.25">
      <c r="A208" s="8"/>
      <c r="B208" s="8"/>
      <c r="C208" s="8"/>
      <c r="D208" s="8"/>
      <c r="E208" s="8"/>
      <c r="F208" s="8"/>
      <c r="G208" s="8"/>
      <c r="H208" s="8"/>
      <c r="I208" s="8"/>
      <c r="J208" s="8"/>
      <c r="K208" s="8"/>
      <c r="L208" s="94"/>
      <c r="M208" s="8"/>
      <c r="N208" s="8"/>
      <c r="O208" s="8"/>
      <c r="P208" s="8"/>
      <c r="Q208" s="8"/>
      <c r="R208" s="8"/>
      <c r="S208" s="8"/>
      <c r="T208" s="8"/>
      <c r="U208" s="8"/>
      <c r="V208" s="8"/>
      <c r="W208" s="8"/>
      <c r="X208" s="8"/>
      <c r="Y208" s="8"/>
      <c r="Z208" s="8"/>
    </row>
    <row r="209" spans="1:26" ht="12.75" customHeight="1" x14ac:dyDescent="0.25">
      <c r="A209" s="8"/>
      <c r="B209" s="8"/>
      <c r="C209" s="8"/>
      <c r="D209" s="8"/>
      <c r="E209" s="8"/>
      <c r="F209" s="8"/>
      <c r="G209" s="8"/>
      <c r="H209" s="8"/>
      <c r="I209" s="8"/>
      <c r="J209" s="8"/>
      <c r="K209" s="8"/>
      <c r="L209" s="94"/>
      <c r="M209" s="8"/>
      <c r="N209" s="8"/>
      <c r="O209" s="8"/>
      <c r="P209" s="8"/>
      <c r="Q209" s="8"/>
      <c r="R209" s="8"/>
      <c r="S209" s="8"/>
      <c r="T209" s="8"/>
      <c r="U209" s="8"/>
      <c r="V209" s="8"/>
      <c r="W209" s="8"/>
      <c r="X209" s="8"/>
      <c r="Y209" s="8"/>
      <c r="Z209" s="8"/>
    </row>
    <row r="210" spans="1:26" ht="12.75" customHeight="1" x14ac:dyDescent="0.25">
      <c r="A210" s="8"/>
      <c r="B210" s="8"/>
      <c r="C210" s="8"/>
      <c r="D210" s="8"/>
      <c r="E210" s="8"/>
      <c r="F210" s="8"/>
      <c r="G210" s="8"/>
      <c r="H210" s="8"/>
      <c r="I210" s="8"/>
      <c r="J210" s="8"/>
      <c r="K210" s="8"/>
      <c r="L210" s="94"/>
      <c r="M210" s="8"/>
      <c r="N210" s="8"/>
      <c r="O210" s="8"/>
      <c r="P210" s="8"/>
      <c r="Q210" s="8"/>
      <c r="R210" s="8"/>
      <c r="S210" s="8"/>
      <c r="T210" s="8"/>
      <c r="U210" s="8"/>
      <c r="V210" s="8"/>
      <c r="W210" s="8"/>
      <c r="X210" s="8"/>
      <c r="Y210" s="8"/>
      <c r="Z210" s="8"/>
    </row>
    <row r="211" spans="1:26" ht="12.75" customHeight="1" x14ac:dyDescent="0.25">
      <c r="A211" s="8"/>
      <c r="B211" s="8"/>
      <c r="C211" s="8"/>
      <c r="D211" s="8"/>
      <c r="E211" s="8"/>
      <c r="F211" s="8"/>
      <c r="G211" s="8"/>
      <c r="H211" s="8"/>
      <c r="I211" s="8"/>
      <c r="J211" s="8"/>
      <c r="K211" s="8"/>
      <c r="L211" s="94"/>
      <c r="M211" s="8"/>
      <c r="N211" s="8"/>
      <c r="O211" s="8"/>
      <c r="P211" s="8"/>
      <c r="Q211" s="8"/>
      <c r="R211" s="8"/>
      <c r="S211" s="8"/>
      <c r="T211" s="8"/>
      <c r="U211" s="8"/>
      <c r="V211" s="8"/>
      <c r="W211" s="8"/>
      <c r="X211" s="8"/>
      <c r="Y211" s="8"/>
      <c r="Z211" s="8"/>
    </row>
    <row r="212" spans="1:26" ht="12.75" customHeight="1" x14ac:dyDescent="0.25">
      <c r="A212" s="8"/>
      <c r="B212" s="8"/>
      <c r="C212" s="8"/>
      <c r="D212" s="8"/>
      <c r="E212" s="8"/>
      <c r="F212" s="8"/>
      <c r="G212" s="8"/>
      <c r="H212" s="8"/>
      <c r="I212" s="8"/>
      <c r="J212" s="8"/>
      <c r="K212" s="8"/>
      <c r="L212" s="94"/>
      <c r="M212" s="8"/>
      <c r="N212" s="8"/>
      <c r="O212" s="8"/>
      <c r="P212" s="8"/>
      <c r="Q212" s="8"/>
      <c r="R212" s="8"/>
      <c r="S212" s="8"/>
      <c r="T212" s="8"/>
      <c r="U212" s="8"/>
      <c r="V212" s="8"/>
      <c r="W212" s="8"/>
      <c r="X212" s="8"/>
      <c r="Y212" s="8"/>
      <c r="Z212" s="8"/>
    </row>
    <row r="213" spans="1:26" ht="12.75" customHeight="1" x14ac:dyDescent="0.25">
      <c r="A213" s="8"/>
      <c r="B213" s="8"/>
      <c r="C213" s="8"/>
      <c r="D213" s="8"/>
      <c r="E213" s="8"/>
      <c r="F213" s="8"/>
      <c r="G213" s="8"/>
      <c r="H213" s="8"/>
      <c r="I213" s="8"/>
      <c r="J213" s="8"/>
      <c r="K213" s="8"/>
      <c r="L213" s="94"/>
      <c r="M213" s="8"/>
      <c r="N213" s="8"/>
      <c r="O213" s="8"/>
      <c r="P213" s="8"/>
      <c r="Q213" s="8"/>
      <c r="R213" s="8"/>
      <c r="S213" s="8"/>
      <c r="T213" s="8"/>
      <c r="U213" s="8"/>
      <c r="V213" s="8"/>
      <c r="W213" s="8"/>
      <c r="X213" s="8"/>
      <c r="Y213" s="8"/>
      <c r="Z213" s="8"/>
    </row>
    <row r="214" spans="1:26" ht="12.75" customHeight="1" x14ac:dyDescent="0.25">
      <c r="A214" s="8"/>
      <c r="B214" s="8"/>
      <c r="C214" s="8"/>
      <c r="D214" s="8"/>
      <c r="E214" s="8"/>
      <c r="F214" s="8"/>
      <c r="G214" s="8"/>
      <c r="H214" s="8"/>
      <c r="I214" s="8"/>
      <c r="J214" s="8"/>
      <c r="K214" s="8"/>
      <c r="L214" s="94"/>
      <c r="M214" s="8"/>
      <c r="N214" s="8"/>
      <c r="O214" s="8"/>
      <c r="P214" s="8"/>
      <c r="Q214" s="8"/>
      <c r="R214" s="8"/>
      <c r="S214" s="8"/>
      <c r="T214" s="8"/>
      <c r="U214" s="8"/>
      <c r="V214" s="8"/>
      <c r="W214" s="8"/>
      <c r="X214" s="8"/>
      <c r="Y214" s="8"/>
      <c r="Z214" s="8"/>
    </row>
    <row r="215" spans="1:26" ht="12.75" customHeight="1" x14ac:dyDescent="0.25">
      <c r="A215" s="8"/>
      <c r="B215" s="8"/>
      <c r="C215" s="8"/>
      <c r="D215" s="8"/>
      <c r="E215" s="8"/>
      <c r="F215" s="8"/>
      <c r="G215" s="8"/>
      <c r="H215" s="8"/>
      <c r="I215" s="8"/>
      <c r="J215" s="8"/>
      <c r="K215" s="8"/>
      <c r="L215" s="94"/>
      <c r="M215" s="8"/>
      <c r="N215" s="8"/>
      <c r="O215" s="8"/>
      <c r="P215" s="8"/>
      <c r="Q215" s="8"/>
      <c r="R215" s="8"/>
      <c r="S215" s="8"/>
      <c r="T215" s="8"/>
      <c r="U215" s="8"/>
      <c r="V215" s="8"/>
      <c r="W215" s="8"/>
      <c r="X215" s="8"/>
      <c r="Y215" s="8"/>
      <c r="Z215" s="8"/>
    </row>
    <row r="216" spans="1:26" ht="12.75" customHeight="1" x14ac:dyDescent="0.25">
      <c r="A216" s="8"/>
      <c r="B216" s="8"/>
      <c r="C216" s="8"/>
      <c r="D216" s="8"/>
      <c r="E216" s="8"/>
      <c r="F216" s="8"/>
      <c r="G216" s="8"/>
      <c r="H216" s="8"/>
      <c r="I216" s="8"/>
      <c r="J216" s="8"/>
      <c r="K216" s="8"/>
      <c r="L216" s="94"/>
      <c r="M216" s="8"/>
      <c r="N216" s="8"/>
      <c r="O216" s="8"/>
      <c r="P216" s="8"/>
      <c r="Q216" s="8"/>
      <c r="R216" s="8"/>
      <c r="S216" s="8"/>
      <c r="T216" s="8"/>
      <c r="U216" s="8"/>
      <c r="V216" s="8"/>
      <c r="W216" s="8"/>
      <c r="X216" s="8"/>
      <c r="Y216" s="8"/>
      <c r="Z216" s="8"/>
    </row>
    <row r="217" spans="1:26" ht="12.75" customHeight="1" x14ac:dyDescent="0.25">
      <c r="A217" s="8"/>
      <c r="B217" s="8"/>
      <c r="C217" s="8"/>
      <c r="D217" s="8"/>
      <c r="E217" s="8"/>
      <c r="F217" s="8"/>
      <c r="G217" s="8"/>
      <c r="H217" s="8"/>
      <c r="I217" s="8"/>
      <c r="J217" s="8"/>
      <c r="K217" s="8"/>
      <c r="L217" s="94"/>
      <c r="M217" s="8"/>
      <c r="N217" s="8"/>
      <c r="O217" s="8"/>
      <c r="P217" s="8"/>
      <c r="Q217" s="8"/>
      <c r="R217" s="8"/>
      <c r="S217" s="8"/>
      <c r="T217" s="8"/>
      <c r="U217" s="8"/>
      <c r="V217" s="8"/>
      <c r="W217" s="8"/>
      <c r="X217" s="8"/>
      <c r="Y217" s="8"/>
      <c r="Z217" s="8"/>
    </row>
    <row r="218" spans="1:26" ht="12.75" customHeight="1" x14ac:dyDescent="0.25">
      <c r="A218" s="8"/>
      <c r="B218" s="8"/>
      <c r="C218" s="8"/>
      <c r="D218" s="8"/>
      <c r="E218" s="8"/>
      <c r="F218" s="8"/>
      <c r="G218" s="8"/>
      <c r="H218" s="8"/>
      <c r="I218" s="8"/>
      <c r="J218" s="8"/>
      <c r="K218" s="8"/>
      <c r="L218" s="94"/>
      <c r="M218" s="8"/>
      <c r="N218" s="8"/>
      <c r="O218" s="8"/>
      <c r="P218" s="8"/>
      <c r="Q218" s="8"/>
      <c r="R218" s="8"/>
      <c r="S218" s="8"/>
      <c r="T218" s="8"/>
      <c r="U218" s="8"/>
      <c r="V218" s="8"/>
      <c r="W218" s="8"/>
      <c r="X218" s="8"/>
      <c r="Y218" s="8"/>
      <c r="Z218" s="8"/>
    </row>
    <row r="219" spans="1:26" ht="12.75" customHeight="1" x14ac:dyDescent="0.25">
      <c r="A219" s="8"/>
      <c r="B219" s="8"/>
      <c r="C219" s="8"/>
      <c r="D219" s="8"/>
      <c r="E219" s="8"/>
      <c r="F219" s="8"/>
      <c r="G219" s="8"/>
      <c r="H219" s="8"/>
      <c r="I219" s="8"/>
      <c r="J219" s="8"/>
      <c r="K219" s="8"/>
      <c r="L219" s="94"/>
      <c r="M219" s="8"/>
      <c r="N219" s="8"/>
      <c r="O219" s="8"/>
      <c r="P219" s="8"/>
      <c r="Q219" s="8"/>
      <c r="R219" s="8"/>
      <c r="S219" s="8"/>
      <c r="T219" s="8"/>
      <c r="U219" s="8"/>
      <c r="V219" s="8"/>
      <c r="W219" s="8"/>
      <c r="X219" s="8"/>
      <c r="Y219" s="8"/>
      <c r="Z219" s="8"/>
    </row>
    <row r="220" spans="1:26" ht="12.75" customHeight="1" x14ac:dyDescent="0.25">
      <c r="A220" s="8"/>
      <c r="B220" s="8"/>
      <c r="C220" s="8"/>
      <c r="D220" s="8"/>
      <c r="E220" s="8"/>
      <c r="F220" s="8"/>
      <c r="G220" s="8"/>
      <c r="H220" s="8"/>
      <c r="I220" s="8"/>
      <c r="J220" s="8"/>
      <c r="K220" s="8"/>
      <c r="L220" s="94"/>
      <c r="M220" s="8"/>
      <c r="N220" s="8"/>
      <c r="O220" s="8"/>
      <c r="P220" s="8"/>
      <c r="Q220" s="8"/>
      <c r="R220" s="8"/>
      <c r="S220" s="8"/>
      <c r="T220" s="8"/>
      <c r="U220" s="8"/>
      <c r="V220" s="8"/>
      <c r="W220" s="8"/>
      <c r="X220" s="8"/>
      <c r="Y220" s="8"/>
      <c r="Z220" s="8"/>
    </row>
    <row r="221" spans="1:26" ht="12.75" customHeight="1" x14ac:dyDescent="0.25">
      <c r="A221" s="8"/>
      <c r="B221" s="8"/>
      <c r="C221" s="8"/>
      <c r="D221" s="8"/>
      <c r="E221" s="8"/>
      <c r="F221" s="8"/>
      <c r="G221" s="8"/>
      <c r="H221" s="8"/>
      <c r="I221" s="8"/>
      <c r="J221" s="8"/>
      <c r="K221" s="8"/>
      <c r="L221" s="94"/>
      <c r="M221" s="8"/>
      <c r="N221" s="8"/>
      <c r="O221" s="8"/>
      <c r="P221" s="8"/>
      <c r="Q221" s="8"/>
      <c r="R221" s="8"/>
      <c r="S221" s="8"/>
      <c r="T221" s="8"/>
      <c r="U221" s="8"/>
      <c r="V221" s="8"/>
      <c r="W221" s="8"/>
      <c r="X221" s="8"/>
      <c r="Y221" s="8"/>
      <c r="Z221" s="8"/>
    </row>
    <row r="222" spans="1:26" ht="12.75" customHeight="1" x14ac:dyDescent="0.25">
      <c r="A222" s="8"/>
      <c r="B222" s="8"/>
      <c r="C222" s="8"/>
      <c r="D222" s="8"/>
      <c r="E222" s="8"/>
      <c r="F222" s="8"/>
      <c r="G222" s="8"/>
      <c r="H222" s="8"/>
      <c r="I222" s="8"/>
      <c r="J222" s="8"/>
      <c r="K222" s="8"/>
      <c r="L222" s="94"/>
      <c r="M222" s="8"/>
      <c r="N222" s="8"/>
      <c r="O222" s="8"/>
      <c r="P222" s="8"/>
      <c r="Q222" s="8"/>
      <c r="R222" s="8"/>
      <c r="S222" s="8"/>
      <c r="T222" s="8"/>
      <c r="U222" s="8"/>
      <c r="V222" s="8"/>
      <c r="W222" s="8"/>
      <c r="X222" s="8"/>
      <c r="Y222" s="8"/>
      <c r="Z222" s="8"/>
    </row>
    <row r="223" spans="1:26" ht="12.75" customHeight="1" x14ac:dyDescent="0.25">
      <c r="A223" s="8"/>
      <c r="B223" s="8"/>
      <c r="C223" s="8"/>
      <c r="D223" s="8"/>
      <c r="E223" s="8"/>
      <c r="F223" s="8"/>
      <c r="G223" s="8"/>
      <c r="H223" s="8"/>
      <c r="I223" s="8"/>
      <c r="J223" s="8"/>
      <c r="K223" s="8"/>
      <c r="L223" s="94"/>
      <c r="M223" s="8"/>
      <c r="N223" s="8"/>
      <c r="O223" s="8"/>
      <c r="P223" s="8"/>
      <c r="Q223" s="8"/>
      <c r="R223" s="8"/>
      <c r="S223" s="8"/>
      <c r="T223" s="8"/>
      <c r="U223" s="8"/>
      <c r="V223" s="8"/>
      <c r="W223" s="8"/>
      <c r="X223" s="8"/>
      <c r="Y223" s="8"/>
      <c r="Z223" s="8"/>
    </row>
    <row r="224" spans="1:26" ht="12.75" customHeight="1" x14ac:dyDescent="0.25">
      <c r="A224" s="8"/>
      <c r="B224" s="8"/>
      <c r="C224" s="8"/>
      <c r="D224" s="8"/>
      <c r="E224" s="8"/>
      <c r="F224" s="8"/>
      <c r="G224" s="8"/>
      <c r="H224" s="8"/>
      <c r="I224" s="8"/>
      <c r="J224" s="8"/>
      <c r="K224" s="8"/>
      <c r="L224" s="94"/>
      <c r="M224" s="8"/>
      <c r="N224" s="8"/>
      <c r="O224" s="8"/>
      <c r="P224" s="8"/>
      <c r="Q224" s="8"/>
      <c r="R224" s="8"/>
      <c r="S224" s="8"/>
      <c r="T224" s="8"/>
      <c r="U224" s="8"/>
      <c r="V224" s="8"/>
      <c r="W224" s="8"/>
      <c r="X224" s="8"/>
      <c r="Y224" s="8"/>
      <c r="Z224" s="8"/>
    </row>
    <row r="225" spans="1:26" ht="12.75" customHeight="1" x14ac:dyDescent="0.25">
      <c r="A225" s="8"/>
      <c r="B225" s="8"/>
      <c r="C225" s="8"/>
      <c r="D225" s="8"/>
      <c r="E225" s="8"/>
      <c r="F225" s="8"/>
      <c r="G225" s="8"/>
      <c r="H225" s="8"/>
      <c r="I225" s="8"/>
      <c r="J225" s="8"/>
      <c r="K225" s="8"/>
      <c r="L225" s="94"/>
      <c r="M225" s="8"/>
      <c r="N225" s="8"/>
      <c r="O225" s="8"/>
      <c r="P225" s="8"/>
      <c r="Q225" s="8"/>
      <c r="R225" s="8"/>
      <c r="S225" s="8"/>
      <c r="T225" s="8"/>
      <c r="U225" s="8"/>
      <c r="V225" s="8"/>
      <c r="W225" s="8"/>
      <c r="X225" s="8"/>
      <c r="Y225" s="8"/>
      <c r="Z225" s="8"/>
    </row>
    <row r="226" spans="1:26" ht="12.75" customHeight="1" x14ac:dyDescent="0.25">
      <c r="A226" s="8"/>
      <c r="B226" s="8"/>
      <c r="C226" s="8"/>
      <c r="D226" s="8"/>
      <c r="E226" s="8"/>
      <c r="F226" s="8"/>
      <c r="G226" s="8"/>
      <c r="H226" s="8"/>
      <c r="I226" s="8"/>
      <c r="J226" s="8"/>
      <c r="K226" s="8"/>
      <c r="L226" s="94"/>
      <c r="M226" s="8"/>
      <c r="N226" s="8"/>
      <c r="O226" s="8"/>
      <c r="P226" s="8"/>
      <c r="Q226" s="8"/>
      <c r="R226" s="8"/>
      <c r="S226" s="8"/>
      <c r="T226" s="8"/>
      <c r="U226" s="8"/>
      <c r="V226" s="8"/>
      <c r="W226" s="8"/>
      <c r="X226" s="8"/>
      <c r="Y226" s="8"/>
      <c r="Z226" s="8"/>
    </row>
    <row r="227" spans="1:26" ht="15.75" customHeight="1" x14ac:dyDescent="0.2"/>
    <row r="228" spans="1:26" ht="15.75" customHeight="1" x14ac:dyDescent="0.2"/>
    <row r="229" spans="1:26" ht="15.75" customHeight="1" x14ac:dyDescent="0.2"/>
    <row r="230" spans="1:26" ht="15.75" customHeight="1" x14ac:dyDescent="0.2"/>
    <row r="231" spans="1:26" ht="15.75" customHeight="1" x14ac:dyDescent="0.2"/>
    <row r="232" spans="1:26" ht="15.75" customHeight="1" x14ac:dyDescent="0.2"/>
    <row r="233" spans="1:26" ht="15.75" customHeight="1" x14ac:dyDescent="0.2"/>
    <row r="234" spans="1:26" ht="15.75" customHeight="1" x14ac:dyDescent="0.2"/>
    <row r="235" spans="1:26" ht="15.75" customHeight="1" x14ac:dyDescent="0.2"/>
    <row r="236" spans="1:26" ht="15.75" customHeight="1" x14ac:dyDescent="0.2"/>
    <row r="237" spans="1:26" ht="15.75" customHeight="1" x14ac:dyDescent="0.2"/>
    <row r="238" spans="1:26" ht="15.75" customHeight="1" x14ac:dyDescent="0.2"/>
    <row r="239" spans="1:26" ht="15.75" customHeight="1" x14ac:dyDescent="0.2"/>
    <row r="240" spans="1:2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sheetData>
  <mergeCells count="1">
    <mergeCell ref="B3:E3"/>
  </mergeCells>
  <phoneticPr fontId="18" type="noConversion"/>
  <conditionalFormatting sqref="I9:I24">
    <cfRule type="containsText" dxfId="10" priority="1" operator="containsText" text="&quot;Pass&quot;">
      <formula>NOT(ISERROR(SEARCH(("""Pass"""),(I9))))</formula>
    </cfRule>
    <cfRule type="containsText" dxfId="9" priority="2" operator="containsText" text="&quot;N/A&quot;">
      <formula>NOT(ISERROR(SEARCH(("""N/A"""),(I9))))</formula>
    </cfRule>
    <cfRule type="containsText" dxfId="8" priority="3" operator="containsText" text="&quot;Fail&quot;">
      <formula>NOT(ISERROR(SEARCH(("""Fail"""),(I9))))</formula>
    </cfRule>
    <cfRule type="containsText" dxfId="7" priority="4" operator="containsText" text="&quot;Pass&quot;">
      <formula>NOT(ISERROR(SEARCH(("""Pass"""),(I9))))</formula>
    </cfRule>
    <cfRule type="containsText" dxfId="6" priority="5" operator="containsText" text="&quot;Pass&quot;">
      <formula>NOT(ISERROR(SEARCH(("""Pass"""),(I9))))</formula>
    </cfRule>
    <cfRule type="containsText" dxfId="5" priority="6" operator="containsText" text="&quot;N/A&quot;">
      <formula>NOT(ISERROR(SEARCH(("""N/A"""),(I9))))</formula>
    </cfRule>
    <cfRule type="containsText" dxfId="4" priority="7" operator="containsText" text="&quot;Fail&quot;">
      <formula>NOT(ISERROR(SEARCH(("""Fail"""),(I9))))</formula>
    </cfRule>
    <cfRule type="containsText" dxfId="3" priority="8" operator="containsText" text="&quot;Pass&quot;">
      <formula>NOT(ISERROR(SEARCH(("""Pass"""),(I9))))</formula>
    </cfRule>
    <cfRule type="containsText" dxfId="2" priority="25" operator="containsText" text="Pass">
      <formula>NOT(ISERROR(SEARCH(("Pass"),(I9))))</formula>
    </cfRule>
    <cfRule type="containsText" dxfId="1" priority="26" operator="containsText" text="Fail">
      <formula>NOT(ISERROR(SEARCH(("Fail"),(I9))))</formula>
    </cfRule>
    <cfRule type="containsText" dxfId="0" priority="27" operator="containsText" text="Untested">
      <formula>NOT(ISERROR(SEARCH(("Untested"),(I9))))</formula>
    </cfRule>
  </conditionalFormatting>
  <dataValidations count="2">
    <dataValidation type="list" allowBlank="1" showInputMessage="1" showErrorMessage="1" prompt=" - " sqref="I1:I3 I7:I8 I16:I148" xr:uid="{00000000-0002-0000-0200-000001000000}">
      <formula1>$M$2:$M$6</formula1>
    </dataValidation>
    <dataValidation type="list" allowBlank="1" showInputMessage="1" showErrorMessage="1" prompt=" - " sqref="I9:I15" xr:uid="{00000000-0002-0000-0200-000000000000}">
      <formula1>"Pass,Fail,Untested,N/A"</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F8" sqref="F8"/>
    </sheetView>
  </sheetViews>
  <sheetFormatPr defaultColWidth="12.6640625" defaultRowHeight="15" customHeight="1" x14ac:dyDescent="0.2"/>
  <cols>
    <col min="1" max="1" width="2.109375" customWidth="1"/>
    <col min="2" max="2" width="19.6640625" customWidth="1"/>
    <col min="3" max="3" width="9.109375" customWidth="1"/>
    <col min="4" max="4" width="14.44140625" customWidth="1"/>
    <col min="5" max="5" width="8" customWidth="1"/>
    <col min="6" max="6" width="31.109375" customWidth="1"/>
    <col min="7" max="7" width="31" customWidth="1"/>
    <col min="8" max="26" width="10" customWidth="1"/>
  </cols>
  <sheetData>
    <row r="1" spans="1:26" ht="12.75" customHeight="1" x14ac:dyDescent="0.25">
      <c r="A1" s="1"/>
      <c r="B1" s="2"/>
      <c r="C1" s="1"/>
      <c r="D1" s="1"/>
      <c r="E1" s="1"/>
      <c r="F1" s="1"/>
      <c r="G1" s="1"/>
      <c r="H1" s="1"/>
      <c r="I1" s="1"/>
      <c r="J1" s="1"/>
      <c r="K1" s="1"/>
      <c r="L1" s="1"/>
      <c r="M1" s="1"/>
      <c r="N1" s="1"/>
      <c r="O1" s="1"/>
      <c r="P1" s="1"/>
      <c r="Q1" s="1"/>
      <c r="R1" s="1"/>
      <c r="S1" s="1"/>
      <c r="T1" s="1"/>
      <c r="U1" s="1"/>
      <c r="V1" s="1"/>
      <c r="W1" s="1"/>
      <c r="X1" s="1"/>
      <c r="Y1" s="1"/>
      <c r="Z1" s="1"/>
    </row>
    <row r="2" spans="1:26" ht="75.75" customHeight="1" x14ac:dyDescent="0.2">
      <c r="A2" s="3"/>
      <c r="B2" s="4" t="s">
        <v>0</v>
      </c>
      <c r="C2" s="238" t="s">
        <v>1</v>
      </c>
      <c r="D2" s="239"/>
      <c r="E2" s="239"/>
      <c r="F2" s="239"/>
      <c r="G2" s="240"/>
      <c r="H2" s="5"/>
      <c r="I2" s="5"/>
      <c r="J2" s="5"/>
      <c r="K2" s="5"/>
      <c r="L2" s="5"/>
      <c r="M2" s="5"/>
      <c r="N2" s="5"/>
      <c r="O2" s="5"/>
      <c r="P2" s="5"/>
      <c r="Q2" s="5"/>
      <c r="R2" s="5"/>
      <c r="S2" s="5"/>
      <c r="T2" s="5"/>
      <c r="U2" s="5"/>
      <c r="V2" s="5"/>
      <c r="W2" s="5"/>
      <c r="X2" s="5"/>
      <c r="Y2" s="5"/>
      <c r="Z2" s="5"/>
    </row>
    <row r="3" spans="1:26" ht="12.75" customHeight="1" x14ac:dyDescent="0.25">
      <c r="A3" s="1"/>
      <c r="B3" s="6"/>
      <c r="C3" s="7"/>
      <c r="D3" s="1"/>
      <c r="E3" s="1"/>
      <c r="F3" s="8"/>
      <c r="G3" s="1"/>
      <c r="H3" s="1"/>
      <c r="I3" s="1"/>
      <c r="J3" s="1"/>
      <c r="K3" s="1"/>
      <c r="L3" s="1"/>
      <c r="M3" s="1"/>
      <c r="N3" s="1"/>
      <c r="O3" s="1"/>
      <c r="P3" s="1"/>
      <c r="Q3" s="1"/>
      <c r="R3" s="1"/>
      <c r="S3" s="1"/>
      <c r="T3" s="1"/>
      <c r="U3" s="1"/>
      <c r="V3" s="1"/>
      <c r="W3" s="1"/>
      <c r="X3" s="1"/>
      <c r="Y3" s="1"/>
      <c r="Z3" s="1"/>
    </row>
    <row r="4" spans="1:26" ht="14.25" customHeight="1" x14ac:dyDescent="0.25">
      <c r="A4" s="1"/>
      <c r="B4" s="9" t="s">
        <v>2</v>
      </c>
      <c r="C4" s="241" t="s">
        <v>678</v>
      </c>
      <c r="D4" s="239"/>
      <c r="E4" s="240"/>
      <c r="F4" s="9" t="s">
        <v>3</v>
      </c>
      <c r="G4" s="10"/>
      <c r="H4" s="1"/>
      <c r="I4" s="1"/>
      <c r="J4" s="1"/>
      <c r="K4" s="1"/>
      <c r="L4" s="1"/>
      <c r="M4" s="1"/>
      <c r="N4" s="1"/>
      <c r="O4" s="1"/>
      <c r="P4" s="1"/>
      <c r="Q4" s="1"/>
      <c r="R4" s="1"/>
      <c r="S4" s="1"/>
      <c r="T4" s="1"/>
      <c r="U4" s="1"/>
      <c r="V4" s="1"/>
      <c r="W4" s="1"/>
      <c r="X4" s="1"/>
      <c r="Y4" s="1"/>
      <c r="Z4" s="1"/>
    </row>
    <row r="5" spans="1:26" ht="14.25" customHeight="1" x14ac:dyDescent="0.25">
      <c r="A5" s="1"/>
      <c r="B5" s="9" t="s">
        <v>4</v>
      </c>
      <c r="C5" s="241" t="s">
        <v>671</v>
      </c>
      <c r="D5" s="239"/>
      <c r="E5" s="240"/>
      <c r="F5" s="9" t="s">
        <v>5</v>
      </c>
      <c r="G5" s="10"/>
      <c r="H5" s="1"/>
      <c r="I5" s="1"/>
      <c r="J5" s="1"/>
      <c r="K5" s="1"/>
      <c r="L5" s="1"/>
      <c r="M5" s="1"/>
      <c r="N5" s="1"/>
      <c r="O5" s="1"/>
      <c r="P5" s="1"/>
      <c r="Q5" s="1"/>
      <c r="R5" s="1"/>
      <c r="S5" s="1"/>
      <c r="T5" s="1"/>
      <c r="U5" s="1"/>
      <c r="V5" s="1"/>
      <c r="W5" s="1"/>
      <c r="X5" s="1"/>
      <c r="Y5" s="1"/>
      <c r="Z5" s="1"/>
    </row>
    <row r="6" spans="1:26" ht="15.75" customHeight="1" x14ac:dyDescent="0.25">
      <c r="A6" s="1"/>
      <c r="B6" s="242" t="s">
        <v>6</v>
      </c>
      <c r="C6" s="244" t="s">
        <v>679</v>
      </c>
      <c r="D6" s="245"/>
      <c r="E6" s="246"/>
      <c r="F6" s="9" t="s">
        <v>7</v>
      </c>
      <c r="G6" s="11"/>
      <c r="H6" s="1"/>
      <c r="I6" s="1"/>
      <c r="J6" s="1"/>
      <c r="K6" s="1"/>
      <c r="L6" s="1"/>
      <c r="M6" s="1"/>
      <c r="N6" s="1"/>
      <c r="O6" s="1"/>
      <c r="P6" s="1"/>
      <c r="Q6" s="1"/>
      <c r="R6" s="1"/>
      <c r="S6" s="1"/>
      <c r="T6" s="1"/>
      <c r="U6" s="1"/>
      <c r="V6" s="1"/>
      <c r="W6" s="1"/>
      <c r="X6" s="1"/>
      <c r="Y6" s="1"/>
      <c r="Z6" s="1"/>
    </row>
    <row r="7" spans="1:26" ht="13.5" customHeight="1" x14ac:dyDescent="0.25">
      <c r="A7" s="1"/>
      <c r="B7" s="243"/>
      <c r="C7" s="247"/>
      <c r="D7" s="248"/>
      <c r="E7" s="249"/>
      <c r="F7" s="9" t="s">
        <v>8</v>
      </c>
      <c r="G7" s="12" t="s">
        <v>9</v>
      </c>
      <c r="H7" s="1"/>
      <c r="I7" s="1"/>
      <c r="J7" s="1"/>
      <c r="K7" s="1"/>
      <c r="L7" s="1"/>
      <c r="M7" s="1"/>
      <c r="N7" s="1"/>
      <c r="O7" s="1"/>
      <c r="P7" s="1"/>
      <c r="Q7" s="1"/>
      <c r="R7" s="1"/>
      <c r="S7" s="1"/>
      <c r="T7" s="1"/>
      <c r="U7" s="1"/>
      <c r="V7" s="1"/>
      <c r="W7" s="1"/>
      <c r="X7" s="1"/>
      <c r="Y7" s="1"/>
      <c r="Z7" s="1"/>
    </row>
    <row r="8" spans="1:26" ht="12.75" customHeight="1" x14ac:dyDescent="0.25">
      <c r="A8" s="1"/>
      <c r="B8" s="13"/>
      <c r="C8" s="7"/>
      <c r="D8" s="1"/>
      <c r="E8" s="1"/>
      <c r="F8" s="6"/>
      <c r="H8" s="1"/>
      <c r="I8" s="1"/>
      <c r="J8" s="1"/>
      <c r="K8" s="1"/>
      <c r="L8" s="1"/>
      <c r="M8" s="1"/>
      <c r="N8" s="1"/>
      <c r="O8" s="1"/>
      <c r="P8" s="1"/>
      <c r="Q8" s="1"/>
      <c r="R8" s="1"/>
      <c r="S8" s="1"/>
      <c r="T8" s="1"/>
      <c r="U8" s="1"/>
      <c r="V8" s="1"/>
      <c r="W8" s="1"/>
      <c r="X8" s="1"/>
      <c r="Y8" s="1"/>
      <c r="Z8" s="1"/>
    </row>
    <row r="9" spans="1:26" ht="12.75" customHeight="1" x14ac:dyDescent="0.25">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25">
      <c r="A10" s="1"/>
      <c r="B10" s="14" t="s">
        <v>10</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2">
      <c r="A11" s="15"/>
      <c r="B11" s="16" t="s">
        <v>11</v>
      </c>
      <c r="C11" s="17" t="s">
        <v>8</v>
      </c>
      <c r="D11" s="17" t="s">
        <v>12</v>
      </c>
      <c r="E11" s="17" t="s">
        <v>13</v>
      </c>
      <c r="F11" s="17" t="s">
        <v>14</v>
      </c>
      <c r="G11" s="18" t="s">
        <v>15</v>
      </c>
      <c r="H11" s="15"/>
      <c r="I11" s="15"/>
      <c r="J11" s="15"/>
      <c r="K11" s="15"/>
      <c r="L11" s="15"/>
      <c r="M11" s="15"/>
      <c r="N11" s="15"/>
      <c r="O11" s="15"/>
      <c r="P11" s="15"/>
      <c r="Q11" s="15"/>
      <c r="R11" s="15"/>
      <c r="S11" s="15"/>
      <c r="T11" s="15"/>
      <c r="U11" s="15"/>
      <c r="V11" s="15"/>
      <c r="W11" s="15"/>
      <c r="X11" s="15"/>
      <c r="Y11" s="15"/>
      <c r="Z11" s="15"/>
    </row>
    <row r="12" spans="1:26" ht="25.5" customHeight="1" x14ac:dyDescent="0.2">
      <c r="A12" s="19"/>
      <c r="B12" s="20">
        <v>44507</v>
      </c>
      <c r="C12" s="21" t="s">
        <v>16</v>
      </c>
      <c r="D12" s="22"/>
      <c r="E12" s="22" t="s">
        <v>17</v>
      </c>
      <c r="F12" s="22" t="s">
        <v>18</v>
      </c>
      <c r="G12" s="23" t="s">
        <v>19</v>
      </c>
      <c r="H12" s="19"/>
      <c r="I12" s="19"/>
      <c r="J12" s="19"/>
      <c r="K12" s="19"/>
      <c r="L12" s="19"/>
      <c r="M12" s="19"/>
      <c r="N12" s="19"/>
      <c r="O12" s="19"/>
      <c r="P12" s="19"/>
      <c r="Q12" s="19"/>
      <c r="R12" s="19"/>
      <c r="S12" s="19"/>
      <c r="T12" s="19"/>
      <c r="U12" s="19"/>
      <c r="V12" s="19"/>
      <c r="W12" s="19"/>
      <c r="X12" s="19"/>
      <c r="Y12" s="19"/>
      <c r="Z12" s="19"/>
    </row>
    <row r="13" spans="1:26" ht="21.75" customHeight="1" x14ac:dyDescent="0.2">
      <c r="A13" s="19"/>
      <c r="B13" s="24" t="s">
        <v>20</v>
      </c>
      <c r="C13" s="21" t="s">
        <v>9</v>
      </c>
      <c r="D13" s="22"/>
      <c r="E13" s="22" t="s">
        <v>21</v>
      </c>
      <c r="F13" s="22" t="s">
        <v>22</v>
      </c>
      <c r="G13" s="25"/>
      <c r="H13" s="19"/>
      <c r="I13" s="19"/>
      <c r="J13" s="19"/>
      <c r="K13" s="19"/>
      <c r="L13" s="19"/>
      <c r="M13" s="19"/>
      <c r="N13" s="19"/>
      <c r="O13" s="19"/>
      <c r="P13" s="19"/>
      <c r="Q13" s="19"/>
      <c r="R13" s="19"/>
      <c r="S13" s="19"/>
      <c r="T13" s="19"/>
      <c r="U13" s="19"/>
      <c r="V13" s="19"/>
      <c r="W13" s="19"/>
      <c r="X13" s="19"/>
      <c r="Y13" s="19"/>
      <c r="Z13" s="19"/>
    </row>
    <row r="14" spans="1:26" ht="19.5" customHeight="1" x14ac:dyDescent="0.2">
      <c r="A14" s="19"/>
      <c r="B14" s="26"/>
      <c r="C14" s="21"/>
      <c r="D14" s="22"/>
      <c r="E14" s="22"/>
      <c r="F14" s="22"/>
      <c r="G14" s="25"/>
      <c r="H14" s="19"/>
      <c r="I14" s="19"/>
      <c r="J14" s="19"/>
      <c r="K14" s="19"/>
      <c r="L14" s="19"/>
      <c r="M14" s="19"/>
      <c r="N14" s="19"/>
      <c r="O14" s="19"/>
      <c r="P14" s="19"/>
      <c r="Q14" s="19"/>
      <c r="R14" s="19"/>
      <c r="S14" s="19"/>
      <c r="T14" s="19"/>
      <c r="U14" s="19"/>
      <c r="V14" s="19"/>
      <c r="W14" s="19"/>
      <c r="X14" s="19"/>
      <c r="Y14" s="19"/>
      <c r="Z14" s="19"/>
    </row>
    <row r="15" spans="1:26" ht="21.75" customHeight="1" x14ac:dyDescent="0.2">
      <c r="A15" s="19"/>
      <c r="B15" s="26"/>
      <c r="C15" s="21"/>
      <c r="D15" s="22"/>
      <c r="E15" s="22"/>
      <c r="F15" s="22"/>
      <c r="G15" s="25"/>
      <c r="H15" s="19"/>
      <c r="I15" s="19"/>
      <c r="J15" s="19"/>
      <c r="K15" s="19"/>
      <c r="L15" s="19"/>
      <c r="M15" s="19"/>
      <c r="N15" s="19"/>
      <c r="O15" s="19"/>
      <c r="P15" s="19"/>
      <c r="Q15" s="19"/>
      <c r="R15" s="19"/>
      <c r="S15" s="19"/>
      <c r="T15" s="19"/>
      <c r="U15" s="19"/>
      <c r="V15" s="19"/>
      <c r="W15" s="19"/>
      <c r="X15" s="19"/>
      <c r="Y15" s="19"/>
      <c r="Z15" s="19"/>
    </row>
    <row r="16" spans="1:26" ht="19.5" customHeight="1" x14ac:dyDescent="0.2">
      <c r="A16" s="19"/>
      <c r="B16" s="26"/>
      <c r="C16" s="21"/>
      <c r="D16" s="22"/>
      <c r="E16" s="22"/>
      <c r="F16" s="22"/>
      <c r="G16" s="25"/>
      <c r="H16" s="19"/>
      <c r="I16" s="19"/>
      <c r="J16" s="19"/>
      <c r="K16" s="19"/>
      <c r="L16" s="19"/>
      <c r="M16" s="19"/>
      <c r="N16" s="19"/>
      <c r="O16" s="19"/>
      <c r="P16" s="19"/>
      <c r="Q16" s="19"/>
      <c r="R16" s="19"/>
      <c r="S16" s="19"/>
      <c r="T16" s="19"/>
      <c r="U16" s="19"/>
      <c r="V16" s="19"/>
      <c r="W16" s="19"/>
      <c r="X16" s="19"/>
      <c r="Y16" s="19"/>
      <c r="Z16" s="19"/>
    </row>
    <row r="17" spans="1:26" ht="21.75" customHeight="1" x14ac:dyDescent="0.2">
      <c r="A17" s="19"/>
      <c r="B17" s="26"/>
      <c r="C17" s="21"/>
      <c r="D17" s="22"/>
      <c r="E17" s="22"/>
      <c r="F17" s="22"/>
      <c r="G17" s="25"/>
      <c r="H17" s="19"/>
      <c r="I17" s="19"/>
      <c r="J17" s="19"/>
      <c r="K17" s="19"/>
      <c r="L17" s="19"/>
      <c r="M17" s="19"/>
      <c r="N17" s="19"/>
      <c r="O17" s="19"/>
      <c r="P17" s="19"/>
      <c r="Q17" s="19"/>
      <c r="R17" s="19"/>
      <c r="S17" s="19"/>
      <c r="T17" s="19"/>
      <c r="U17" s="19"/>
      <c r="V17" s="19"/>
      <c r="W17" s="19"/>
      <c r="X17" s="19"/>
      <c r="Y17" s="19"/>
      <c r="Z17" s="19"/>
    </row>
    <row r="18" spans="1:26" ht="19.5" customHeight="1" x14ac:dyDescent="0.2">
      <c r="A18" s="19"/>
      <c r="B18" s="27"/>
      <c r="C18" s="28"/>
      <c r="D18" s="29"/>
      <c r="E18" s="29"/>
      <c r="F18" s="29"/>
      <c r="G18" s="30"/>
      <c r="H18" s="19"/>
      <c r="I18" s="19"/>
      <c r="J18" s="19"/>
      <c r="K18" s="19"/>
      <c r="L18" s="19"/>
      <c r="M18" s="19"/>
      <c r="N18" s="19"/>
      <c r="O18" s="19"/>
      <c r="P18" s="19"/>
      <c r="Q18" s="19"/>
      <c r="R18" s="19"/>
      <c r="S18" s="19"/>
      <c r="T18" s="19"/>
      <c r="U18" s="19"/>
      <c r="V18" s="19"/>
      <c r="W18" s="19"/>
      <c r="X18" s="19"/>
      <c r="Y18" s="19"/>
      <c r="Z18" s="19"/>
    </row>
    <row r="19" spans="1:26" ht="12.75" customHeight="1" x14ac:dyDescent="0.25">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25">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25">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25">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25">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25">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25">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25">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25">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5">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25">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25">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25">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25">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25">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25">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25">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25">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25">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25">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25">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25">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25">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25">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5">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5">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5">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5">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5">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5">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5">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5">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5">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5">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5">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5">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5">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5">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5">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5">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5">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5">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5">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5">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5">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5">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5">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5">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5">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5">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5">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5">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5">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5">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5">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5">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5">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5">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5">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5">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5">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5">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5">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5">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5">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5">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5">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5">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5">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5">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5">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5">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5">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5">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5">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5">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5">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5">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5">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5">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5">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5">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C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H12" sqref="H12"/>
    </sheetView>
  </sheetViews>
  <sheetFormatPr defaultColWidth="12.6640625" defaultRowHeight="15" customHeight="1" x14ac:dyDescent="0.2"/>
  <cols>
    <col min="1" max="1" width="10.21875" customWidth="1"/>
    <col min="2" max="2" width="11.88671875" customWidth="1"/>
    <col min="3" max="3" width="26.44140625" customWidth="1"/>
    <col min="4" max="4" width="17.109375" customWidth="1"/>
    <col min="5" max="5" width="51.5546875" customWidth="1"/>
    <col min="6" max="6" width="30.6640625" customWidth="1"/>
    <col min="7" max="26" width="10" customWidth="1"/>
  </cols>
  <sheetData>
    <row r="1" spans="1:26" ht="24.75" customHeight="1" x14ac:dyDescent="0.4">
      <c r="A1" s="8"/>
      <c r="B1" s="31"/>
      <c r="C1" s="32"/>
      <c r="D1" s="33" t="s">
        <v>23</v>
      </c>
      <c r="E1" s="34"/>
      <c r="F1" s="32"/>
      <c r="G1" s="8"/>
      <c r="H1" s="8"/>
      <c r="I1" s="8"/>
      <c r="J1" s="8"/>
      <c r="K1" s="8"/>
      <c r="L1" s="8"/>
      <c r="M1" s="8"/>
      <c r="N1" s="8"/>
      <c r="O1" s="8"/>
      <c r="P1" s="8"/>
      <c r="Q1" s="8"/>
      <c r="R1" s="8"/>
      <c r="S1" s="8"/>
      <c r="T1" s="8"/>
      <c r="U1" s="8"/>
      <c r="V1" s="8"/>
      <c r="W1" s="8"/>
      <c r="X1" s="8"/>
      <c r="Y1" s="8"/>
      <c r="Z1" s="8"/>
    </row>
    <row r="2" spans="1:26" ht="13.5" customHeight="1" x14ac:dyDescent="0.25">
      <c r="A2" s="8"/>
      <c r="B2" s="31"/>
      <c r="C2" s="32"/>
      <c r="D2" s="35"/>
      <c r="E2" s="35"/>
      <c r="F2" s="32"/>
      <c r="G2" s="8"/>
      <c r="H2" s="8"/>
      <c r="I2" s="8"/>
      <c r="J2" s="8"/>
      <c r="K2" s="8"/>
      <c r="L2" s="8"/>
      <c r="M2" s="8"/>
      <c r="N2" s="8"/>
      <c r="O2" s="8"/>
      <c r="P2" s="8"/>
      <c r="Q2" s="8"/>
      <c r="R2" s="8"/>
      <c r="S2" s="8"/>
      <c r="T2" s="8"/>
      <c r="U2" s="8"/>
      <c r="V2" s="8"/>
      <c r="W2" s="8"/>
      <c r="X2" s="8"/>
      <c r="Y2" s="8"/>
      <c r="Z2" s="8"/>
    </row>
    <row r="3" spans="1:26" ht="12.75" customHeight="1" x14ac:dyDescent="0.25">
      <c r="A3" s="8"/>
      <c r="B3" s="250" t="s">
        <v>2</v>
      </c>
      <c r="C3" s="251"/>
      <c r="D3" s="252" t="str">
        <f>Cover!C4</f>
        <v xml:space="preserve">DATN_TrueMart_Auto	</v>
      </c>
      <c r="E3" s="239"/>
      <c r="F3" s="240"/>
      <c r="G3" s="8"/>
      <c r="H3" s="8"/>
      <c r="I3" s="8"/>
      <c r="J3" s="8"/>
      <c r="K3" s="8"/>
      <c r="L3" s="8"/>
      <c r="M3" s="8"/>
      <c r="N3" s="8"/>
      <c r="O3" s="8"/>
      <c r="P3" s="8"/>
      <c r="Q3" s="8"/>
      <c r="R3" s="8"/>
      <c r="S3" s="8"/>
      <c r="T3" s="8"/>
      <c r="U3" s="8"/>
      <c r="V3" s="8"/>
      <c r="W3" s="8"/>
      <c r="X3" s="8"/>
      <c r="Y3" s="8"/>
      <c r="Z3" s="8"/>
    </row>
    <row r="4" spans="1:26" ht="12.75" customHeight="1" x14ac:dyDescent="0.25">
      <c r="A4" s="8"/>
      <c r="B4" s="250" t="s">
        <v>4</v>
      </c>
      <c r="C4" s="251"/>
      <c r="D4" s="252" t="s">
        <v>677</v>
      </c>
      <c r="E4" s="239"/>
      <c r="F4" s="240"/>
      <c r="G4" s="8"/>
      <c r="H4" s="8"/>
      <c r="I4" s="8"/>
      <c r="J4" s="8"/>
      <c r="K4" s="8"/>
      <c r="L4" s="8"/>
      <c r="M4" s="8"/>
      <c r="N4" s="8"/>
      <c r="O4" s="8"/>
      <c r="P4" s="8"/>
      <c r="Q4" s="8"/>
      <c r="R4" s="8"/>
      <c r="S4" s="8"/>
      <c r="T4" s="8"/>
      <c r="U4" s="8"/>
      <c r="V4" s="8"/>
      <c r="W4" s="8"/>
      <c r="X4" s="8"/>
      <c r="Y4" s="8"/>
      <c r="Z4" s="8"/>
    </row>
    <row r="5" spans="1:26" ht="84.75" customHeight="1" x14ac:dyDescent="0.25">
      <c r="A5" s="36"/>
      <c r="B5" s="253" t="s">
        <v>24</v>
      </c>
      <c r="C5" s="240"/>
      <c r="D5" s="254" t="s">
        <v>690</v>
      </c>
      <c r="E5" s="239"/>
      <c r="F5" s="240"/>
      <c r="G5" s="36"/>
      <c r="H5" s="36"/>
      <c r="I5" s="36"/>
      <c r="J5" s="36"/>
      <c r="K5" s="36"/>
      <c r="L5" s="36"/>
      <c r="M5" s="36"/>
      <c r="N5" s="36"/>
      <c r="O5" s="36"/>
      <c r="P5" s="36"/>
      <c r="Q5" s="36"/>
      <c r="R5" s="36"/>
      <c r="S5" s="36"/>
      <c r="T5" s="36"/>
      <c r="U5" s="36"/>
      <c r="V5" s="36"/>
      <c r="W5" s="36"/>
      <c r="X5" s="36"/>
      <c r="Y5" s="36"/>
      <c r="Z5" s="36"/>
    </row>
    <row r="6" spans="1:26" ht="12.75" customHeight="1" x14ac:dyDescent="0.25">
      <c r="A6" s="8"/>
      <c r="B6" s="37"/>
      <c r="C6" s="8"/>
      <c r="D6" s="8"/>
      <c r="E6" s="8"/>
      <c r="F6" s="8"/>
      <c r="G6" s="8"/>
      <c r="H6" s="8"/>
      <c r="I6" s="8"/>
      <c r="J6" s="8"/>
      <c r="K6" s="8"/>
      <c r="L6" s="8"/>
      <c r="M6" s="8"/>
      <c r="N6" s="8"/>
      <c r="O6" s="8"/>
      <c r="P6" s="8"/>
      <c r="Q6" s="8"/>
      <c r="R6" s="8"/>
      <c r="S6" s="8"/>
      <c r="T6" s="8"/>
      <c r="U6" s="8"/>
      <c r="V6" s="8"/>
      <c r="W6" s="8"/>
      <c r="X6" s="8"/>
      <c r="Y6" s="8"/>
      <c r="Z6" s="8"/>
    </row>
    <row r="7" spans="1:26" ht="12.75" customHeight="1" x14ac:dyDescent="0.2">
      <c r="A7" s="38"/>
      <c r="B7" s="39"/>
      <c r="C7" s="40"/>
      <c r="D7" s="40"/>
      <c r="E7" s="40"/>
      <c r="F7" s="40"/>
      <c r="G7" s="38"/>
      <c r="H7" s="38"/>
      <c r="I7" s="38"/>
      <c r="J7" s="38"/>
      <c r="K7" s="38"/>
      <c r="L7" s="38"/>
      <c r="M7" s="38"/>
      <c r="N7" s="38"/>
      <c r="O7" s="38"/>
      <c r="P7" s="38"/>
      <c r="Q7" s="38"/>
      <c r="R7" s="38"/>
      <c r="S7" s="38"/>
      <c r="T7" s="38"/>
      <c r="U7" s="38"/>
      <c r="V7" s="38"/>
      <c r="W7" s="38"/>
      <c r="X7" s="38"/>
      <c r="Y7" s="38"/>
      <c r="Z7" s="38"/>
    </row>
    <row r="8" spans="1:26" ht="21" customHeight="1" x14ac:dyDescent="0.25">
      <c r="A8" s="41"/>
      <c r="B8" s="42" t="s">
        <v>25</v>
      </c>
      <c r="C8" s="43" t="s">
        <v>26</v>
      </c>
      <c r="D8" s="43" t="s">
        <v>27</v>
      </c>
      <c r="E8" s="44" t="s">
        <v>28</v>
      </c>
      <c r="F8" s="45" t="s">
        <v>29</v>
      </c>
      <c r="G8" s="41"/>
      <c r="H8" s="41"/>
      <c r="I8" s="41"/>
      <c r="J8" s="41"/>
      <c r="K8" s="41"/>
      <c r="L8" s="41"/>
      <c r="M8" s="41"/>
      <c r="N8" s="41"/>
      <c r="O8" s="41"/>
      <c r="P8" s="41"/>
      <c r="Q8" s="41"/>
      <c r="R8" s="41"/>
      <c r="S8" s="41"/>
      <c r="T8" s="41"/>
      <c r="U8" s="41"/>
      <c r="V8" s="41"/>
      <c r="W8" s="41"/>
      <c r="X8" s="41"/>
      <c r="Y8" s="41"/>
      <c r="Z8" s="41"/>
    </row>
    <row r="9" spans="1:26" ht="40.200000000000003" customHeight="1" x14ac:dyDescent="0.25">
      <c r="A9" s="8"/>
      <c r="B9" s="46">
        <v>1</v>
      </c>
      <c r="C9" s="47" t="s">
        <v>30</v>
      </c>
      <c r="D9" s="209" t="s">
        <v>30</v>
      </c>
      <c r="E9" s="211" t="str">
        <f>Login!B3</f>
        <v>Hệ thống phải đăng nhập vào trang chủ khi nhập tài khoản đã đăng ký</v>
      </c>
      <c r="F9" s="48" t="s">
        <v>693</v>
      </c>
      <c r="G9" s="8"/>
      <c r="H9" s="8"/>
      <c r="I9" s="8"/>
      <c r="J9" s="8"/>
      <c r="K9" s="8"/>
      <c r="L9" s="8"/>
      <c r="M9" s="8"/>
      <c r="N9" s="8"/>
      <c r="O9" s="8"/>
      <c r="P9" s="8"/>
      <c r="Q9" s="8"/>
      <c r="R9" s="8"/>
      <c r="S9" s="8"/>
      <c r="T9" s="8"/>
      <c r="U9" s="8"/>
      <c r="V9" s="8"/>
      <c r="W9" s="8"/>
      <c r="X9" s="8"/>
      <c r="Y9" s="8"/>
      <c r="Z9" s="8"/>
    </row>
    <row r="10" spans="1:26" ht="60" customHeight="1" x14ac:dyDescent="0.25">
      <c r="A10" s="8"/>
      <c r="B10" s="46">
        <v>2</v>
      </c>
      <c r="C10" s="47" t="s">
        <v>681</v>
      </c>
      <c r="D10" s="209" t="s">
        <v>681</v>
      </c>
      <c r="E10" s="211" t="str">
        <f>Search!B3</f>
        <v>Người dùng nhập từ khóa vào thanh tìm kiếm trên menu
- Nếu đúng: hiển thị sản phẩm
- Nếu sai: hiển thị thông báo</v>
      </c>
      <c r="F10" s="48" t="s">
        <v>268</v>
      </c>
      <c r="G10" s="8"/>
      <c r="H10" s="8"/>
      <c r="I10" s="8"/>
      <c r="J10" s="8"/>
      <c r="K10" s="8"/>
      <c r="L10" s="8"/>
      <c r="M10" s="8"/>
      <c r="N10" s="8"/>
      <c r="O10" s="8"/>
      <c r="P10" s="8"/>
      <c r="Q10" s="8"/>
      <c r="R10" s="8"/>
      <c r="S10" s="8"/>
      <c r="T10" s="8"/>
      <c r="U10" s="8"/>
      <c r="V10" s="8"/>
      <c r="W10" s="8"/>
      <c r="X10" s="8"/>
      <c r="Y10" s="8"/>
      <c r="Z10" s="8"/>
    </row>
    <row r="11" spans="1:26" ht="40.200000000000003" customHeight="1" x14ac:dyDescent="0.25">
      <c r="A11" s="8"/>
      <c r="B11" s="46">
        <v>3</v>
      </c>
      <c r="C11" s="47" t="s">
        <v>682</v>
      </c>
      <c r="D11" s="209" t="s">
        <v>682</v>
      </c>
      <c r="E11" s="211" t="str">
        <f>Category!B3</f>
        <v>Hệ thống hiển thị tất cả các danh mục đang có khi click vào Sản phẩm trên thanh menu</v>
      </c>
      <c r="F11" s="48" t="s">
        <v>694</v>
      </c>
      <c r="G11" s="8"/>
      <c r="H11" s="8"/>
      <c r="I11" s="8"/>
      <c r="J11" s="8"/>
      <c r="K11" s="8"/>
      <c r="L11" s="8"/>
      <c r="M11" s="8"/>
      <c r="N11" s="8"/>
      <c r="O11" s="8"/>
      <c r="P11" s="8"/>
      <c r="Q11" s="8"/>
      <c r="R11" s="8"/>
      <c r="S11" s="8"/>
      <c r="T11" s="8"/>
      <c r="U11" s="8"/>
      <c r="V11" s="8"/>
      <c r="W11" s="8"/>
      <c r="X11" s="8"/>
      <c r="Y11" s="8"/>
      <c r="Z11" s="8"/>
    </row>
    <row r="12" spans="1:26" ht="88.8" customHeight="1" x14ac:dyDescent="0.25">
      <c r="A12" s="8"/>
      <c r="B12" s="46">
        <v>4</v>
      </c>
      <c r="C12" s="47" t="s">
        <v>683</v>
      </c>
      <c r="D12" s="209" t="s">
        <v>683</v>
      </c>
      <c r="E12" s="212" t="str">
        <f>Product_detail!B3</f>
        <v>Hệ thống hiển thị thông tin chi tiết sản phẩm khi click vào một sản phẩm bất kỳ. 
Có thể:
- Xem đánh giá
- Thêm sản phẩm vào giỏ</v>
      </c>
      <c r="F12" s="48" t="s">
        <v>694</v>
      </c>
      <c r="G12" s="8"/>
      <c r="H12" s="8"/>
      <c r="I12" s="8"/>
      <c r="J12" s="8"/>
      <c r="K12" s="8"/>
      <c r="L12" s="8"/>
      <c r="M12" s="8"/>
      <c r="N12" s="8"/>
      <c r="O12" s="8"/>
      <c r="P12" s="8"/>
      <c r="Q12" s="8"/>
      <c r="R12" s="8"/>
      <c r="S12" s="8"/>
      <c r="T12" s="8"/>
      <c r="U12" s="8"/>
      <c r="V12" s="8"/>
      <c r="W12" s="8"/>
      <c r="X12" s="8"/>
      <c r="Y12" s="8"/>
      <c r="Z12" s="8"/>
    </row>
    <row r="13" spans="1:26" ht="69.599999999999994" customHeight="1" x14ac:dyDescent="0.25">
      <c r="A13" s="8"/>
      <c r="B13" s="46">
        <v>5</v>
      </c>
      <c r="C13" s="47" t="s">
        <v>684</v>
      </c>
      <c r="D13" s="209" t="s">
        <v>684</v>
      </c>
      <c r="E13" s="211" t="str">
        <f>Register!B3</f>
        <v xml:space="preserve">Hệ thống tạo tài khoản thành công khi nhập các thông tin hợp lệ </v>
      </c>
      <c r="F13" s="48" t="s">
        <v>695</v>
      </c>
      <c r="G13" s="8"/>
      <c r="H13" s="8"/>
      <c r="I13" s="8"/>
      <c r="J13" s="8"/>
      <c r="K13" s="8"/>
      <c r="L13" s="8"/>
      <c r="M13" s="8"/>
      <c r="N13" s="8"/>
      <c r="O13" s="8"/>
      <c r="P13" s="8"/>
      <c r="Q13" s="8"/>
      <c r="R13" s="8"/>
      <c r="S13" s="8"/>
      <c r="T13" s="8"/>
      <c r="U13" s="8"/>
      <c r="V13" s="8"/>
      <c r="W13" s="8"/>
      <c r="X13" s="8"/>
      <c r="Y13" s="8"/>
      <c r="Z13" s="8"/>
    </row>
    <row r="14" spans="1:26" ht="46.8" customHeight="1" x14ac:dyDescent="0.25">
      <c r="A14" s="8"/>
      <c r="B14" s="46">
        <v>6</v>
      </c>
      <c r="C14" s="47" t="s">
        <v>685</v>
      </c>
      <c r="D14" s="209" t="s">
        <v>685</v>
      </c>
      <c r="E14" s="210" t="str">
        <f>Order!B3</f>
        <v>Hệ thống đặt hàng thành công với các sản phẩm có trong giỏ hàng</v>
      </c>
      <c r="F14" s="48" t="s">
        <v>696</v>
      </c>
      <c r="G14" s="8"/>
      <c r="H14" s="8"/>
      <c r="I14" s="8"/>
      <c r="J14" s="8"/>
      <c r="K14" s="8"/>
      <c r="L14" s="8"/>
      <c r="M14" s="8"/>
      <c r="N14" s="8"/>
      <c r="O14" s="8"/>
      <c r="P14" s="8"/>
      <c r="Q14" s="8"/>
      <c r="R14" s="8"/>
      <c r="S14" s="8"/>
      <c r="T14" s="8"/>
      <c r="U14" s="8"/>
      <c r="V14" s="8"/>
      <c r="W14" s="8"/>
      <c r="X14" s="8"/>
      <c r="Y14" s="8"/>
      <c r="Z14" s="8"/>
    </row>
    <row r="15" spans="1:26" ht="39" customHeight="1" x14ac:dyDescent="0.25">
      <c r="A15" s="8"/>
      <c r="B15" s="46">
        <v>7</v>
      </c>
      <c r="C15" s="47" t="s">
        <v>686</v>
      </c>
      <c r="D15" s="209" t="s">
        <v>686</v>
      </c>
      <c r="E15" s="210" t="str">
        <f>Cart!B3</f>
        <v>Hệ thống cho phép khách hàng xem sản phẩm trong giỏ, sửa số lượng, xóa sản phẩm khỏi giỏ hàng</v>
      </c>
      <c r="F15" s="48" t="s">
        <v>696</v>
      </c>
      <c r="G15" s="8"/>
      <c r="H15" s="8"/>
      <c r="I15" s="8"/>
      <c r="J15" s="8"/>
      <c r="K15" s="8"/>
      <c r="L15" s="8"/>
      <c r="M15" s="8"/>
      <c r="N15" s="8"/>
      <c r="O15" s="8"/>
      <c r="P15" s="8"/>
      <c r="Q15" s="8"/>
      <c r="R15" s="8"/>
      <c r="S15" s="8"/>
      <c r="T15" s="8"/>
      <c r="U15" s="8"/>
      <c r="V15" s="8"/>
      <c r="W15" s="8"/>
      <c r="X15" s="8"/>
      <c r="Y15" s="8"/>
      <c r="Z15" s="8"/>
    </row>
    <row r="16" spans="1:26" ht="42.6" customHeight="1" x14ac:dyDescent="0.25">
      <c r="A16" s="8"/>
      <c r="B16" s="46">
        <v>8</v>
      </c>
      <c r="C16" s="47" t="s">
        <v>687</v>
      </c>
      <c r="D16" s="209" t="s">
        <v>687</v>
      </c>
      <c r="E16" s="210" t="str">
        <f>Invoice!B3</f>
        <v>Hệ thống cho phép người quản trị xem hóa đơn, hủy đơn hàng và chỉnh sửa trạng thái đơn hàng</v>
      </c>
      <c r="F16" s="48" t="s">
        <v>697</v>
      </c>
      <c r="G16" s="8"/>
      <c r="H16" s="8"/>
      <c r="I16" s="8"/>
      <c r="J16" s="8"/>
      <c r="K16" s="8"/>
      <c r="L16" s="8"/>
      <c r="M16" s="8"/>
      <c r="N16" s="8"/>
      <c r="O16" s="8"/>
      <c r="P16" s="8"/>
      <c r="Q16" s="8"/>
      <c r="R16" s="8"/>
      <c r="S16" s="8"/>
      <c r="T16" s="8"/>
      <c r="U16" s="8"/>
      <c r="V16" s="8"/>
      <c r="W16" s="8"/>
      <c r="X16" s="8"/>
      <c r="Y16" s="8"/>
      <c r="Z16" s="8"/>
    </row>
    <row r="17" spans="1:26" ht="12.75" customHeight="1" x14ac:dyDescent="0.25">
      <c r="A17" s="8"/>
      <c r="B17" s="46"/>
      <c r="C17" s="47"/>
      <c r="D17" s="49"/>
      <c r="E17" s="210"/>
      <c r="F17" s="48"/>
      <c r="G17" s="8"/>
      <c r="H17" s="8"/>
      <c r="I17" s="8"/>
      <c r="J17" s="8"/>
      <c r="K17" s="8"/>
      <c r="L17" s="8"/>
      <c r="M17" s="8"/>
      <c r="N17" s="8"/>
      <c r="O17" s="8"/>
      <c r="P17" s="8"/>
      <c r="Q17" s="8"/>
      <c r="R17" s="8"/>
      <c r="S17" s="8"/>
      <c r="T17" s="8"/>
      <c r="U17" s="8"/>
      <c r="V17" s="8"/>
      <c r="W17" s="8"/>
      <c r="X17" s="8"/>
      <c r="Y17" s="8"/>
      <c r="Z17" s="8"/>
    </row>
    <row r="18" spans="1:26" ht="12.75" customHeight="1" x14ac:dyDescent="0.25">
      <c r="A18" s="8"/>
      <c r="B18" s="46"/>
      <c r="C18" s="47"/>
      <c r="D18" s="49"/>
      <c r="E18" s="210"/>
      <c r="F18" s="48"/>
      <c r="G18" s="8"/>
      <c r="H18" s="8"/>
      <c r="I18" s="8"/>
      <c r="J18" s="8"/>
      <c r="K18" s="8"/>
      <c r="L18" s="8"/>
      <c r="M18" s="8"/>
      <c r="N18" s="8"/>
      <c r="O18" s="8"/>
      <c r="P18" s="8"/>
      <c r="Q18" s="8"/>
      <c r="R18" s="8"/>
      <c r="S18" s="8"/>
      <c r="T18" s="8"/>
      <c r="U18" s="8"/>
      <c r="V18" s="8"/>
      <c r="W18" s="8"/>
      <c r="X18" s="8"/>
      <c r="Y18" s="8"/>
      <c r="Z18" s="8"/>
    </row>
    <row r="19" spans="1:26" ht="12.75" customHeight="1" x14ac:dyDescent="0.25">
      <c r="A19" s="8"/>
      <c r="B19" s="46"/>
      <c r="C19" s="47"/>
      <c r="D19" s="49"/>
      <c r="E19" s="49"/>
      <c r="F19" s="48"/>
      <c r="G19" s="8"/>
      <c r="H19" s="8"/>
      <c r="I19" s="8"/>
      <c r="J19" s="8"/>
      <c r="K19" s="8"/>
      <c r="L19" s="8"/>
      <c r="M19" s="8"/>
      <c r="N19" s="8"/>
      <c r="O19" s="8"/>
      <c r="P19" s="8"/>
      <c r="Q19" s="8"/>
      <c r="R19" s="8"/>
      <c r="S19" s="8"/>
      <c r="T19" s="8"/>
      <c r="U19" s="8"/>
      <c r="V19" s="8"/>
      <c r="W19" s="8"/>
      <c r="X19" s="8"/>
      <c r="Y19" s="8"/>
      <c r="Z19" s="8"/>
    </row>
    <row r="20" spans="1:26" ht="12.75" customHeight="1" x14ac:dyDescent="0.25">
      <c r="A20" s="8"/>
      <c r="B20" s="46"/>
      <c r="C20" s="47"/>
      <c r="D20" s="49"/>
      <c r="E20" s="49"/>
      <c r="F20" s="48"/>
      <c r="G20" s="8"/>
      <c r="H20" s="8"/>
      <c r="I20" s="8"/>
      <c r="J20" s="8"/>
      <c r="K20" s="8"/>
      <c r="L20" s="8"/>
      <c r="M20" s="8"/>
      <c r="N20" s="8"/>
      <c r="O20" s="8"/>
      <c r="P20" s="8"/>
      <c r="Q20" s="8"/>
      <c r="R20" s="8"/>
      <c r="S20" s="8"/>
      <c r="T20" s="8"/>
      <c r="U20" s="8"/>
      <c r="V20" s="8"/>
      <c r="W20" s="8"/>
      <c r="X20" s="8"/>
      <c r="Y20" s="8"/>
      <c r="Z20" s="8"/>
    </row>
    <row r="21" spans="1:26" ht="12.75" customHeight="1" x14ac:dyDescent="0.25">
      <c r="A21" s="8"/>
      <c r="B21" s="50"/>
      <c r="C21" s="51"/>
      <c r="D21" s="52"/>
      <c r="E21" s="52"/>
      <c r="F21" s="53"/>
      <c r="G21" s="8"/>
      <c r="H21" s="8"/>
      <c r="I21" s="8"/>
      <c r="J21" s="8"/>
      <c r="K21" s="8"/>
      <c r="L21" s="8"/>
      <c r="M21" s="8"/>
      <c r="N21" s="8"/>
      <c r="O21" s="8"/>
      <c r="P21" s="8"/>
      <c r="Q21" s="8"/>
      <c r="R21" s="8"/>
      <c r="S21" s="8"/>
      <c r="T21" s="8"/>
      <c r="U21" s="8"/>
      <c r="V21" s="8"/>
      <c r="W21" s="8"/>
      <c r="X21" s="8"/>
      <c r="Y21" s="8"/>
      <c r="Z21" s="8"/>
    </row>
    <row r="22" spans="1:26" ht="12.75" customHeight="1" x14ac:dyDescent="0.25">
      <c r="A22" s="8"/>
      <c r="B22" s="31"/>
      <c r="C22" s="32"/>
      <c r="D22" s="32"/>
      <c r="E22" s="32"/>
      <c r="F22" s="32"/>
      <c r="G22" s="8"/>
      <c r="H22" s="8"/>
      <c r="I22" s="8"/>
      <c r="J22" s="8"/>
      <c r="K22" s="8"/>
      <c r="L22" s="8"/>
      <c r="M22" s="8"/>
      <c r="N22" s="8"/>
      <c r="O22" s="8"/>
      <c r="P22" s="8"/>
      <c r="Q22" s="8"/>
      <c r="R22" s="8"/>
      <c r="S22" s="8"/>
      <c r="T22" s="8"/>
      <c r="U22" s="8"/>
      <c r="V22" s="8"/>
      <c r="W22" s="8"/>
      <c r="X22" s="8"/>
      <c r="Y22" s="8"/>
      <c r="Z22" s="8"/>
    </row>
    <row r="23" spans="1:26" ht="12.75" customHeight="1" x14ac:dyDescent="0.25">
      <c r="A23" s="8"/>
      <c r="B23" s="31"/>
      <c r="C23" s="32"/>
      <c r="D23" s="32"/>
      <c r="E23" s="32"/>
      <c r="F23" s="32"/>
      <c r="G23" s="8"/>
      <c r="H23" s="8"/>
      <c r="I23" s="8"/>
      <c r="J23" s="8"/>
      <c r="K23" s="8"/>
      <c r="L23" s="8"/>
      <c r="M23" s="8"/>
      <c r="N23" s="8"/>
      <c r="O23" s="8"/>
      <c r="P23" s="8"/>
      <c r="Q23" s="8"/>
      <c r="R23" s="8"/>
      <c r="S23" s="8"/>
      <c r="T23" s="8"/>
      <c r="U23" s="8"/>
      <c r="V23" s="8"/>
      <c r="W23" s="8"/>
      <c r="X23" s="8"/>
      <c r="Y23" s="8"/>
      <c r="Z23" s="8"/>
    </row>
    <row r="24" spans="1:26" ht="12.75" customHeight="1" x14ac:dyDescent="0.25">
      <c r="A24" s="8"/>
      <c r="B24" s="31"/>
      <c r="C24" s="32"/>
      <c r="D24" s="32"/>
      <c r="E24" s="32"/>
      <c r="F24" s="32"/>
      <c r="G24" s="8"/>
      <c r="H24" s="8"/>
      <c r="I24" s="8"/>
      <c r="J24" s="8"/>
      <c r="K24" s="8"/>
      <c r="L24" s="8"/>
      <c r="M24" s="8"/>
      <c r="N24" s="8"/>
      <c r="O24" s="8"/>
      <c r="P24" s="8"/>
      <c r="Q24" s="8"/>
      <c r="R24" s="8"/>
      <c r="S24" s="8"/>
      <c r="T24" s="8"/>
      <c r="U24" s="8"/>
      <c r="V24" s="8"/>
      <c r="W24" s="8"/>
      <c r="X24" s="8"/>
      <c r="Y24" s="8"/>
      <c r="Z24" s="8"/>
    </row>
    <row r="25" spans="1:26" ht="12.75" customHeight="1" x14ac:dyDescent="0.25">
      <c r="A25" s="8"/>
      <c r="B25" s="31"/>
      <c r="C25" s="32"/>
      <c r="D25" s="32"/>
      <c r="E25" s="32"/>
      <c r="F25" s="32"/>
      <c r="G25" s="8"/>
      <c r="H25" s="8"/>
      <c r="I25" s="8"/>
      <c r="J25" s="8"/>
      <c r="K25" s="8"/>
      <c r="L25" s="8"/>
      <c r="M25" s="8"/>
      <c r="N25" s="8"/>
      <c r="O25" s="8"/>
      <c r="P25" s="8"/>
      <c r="Q25" s="8"/>
      <c r="R25" s="8"/>
      <c r="S25" s="8"/>
      <c r="T25" s="8"/>
      <c r="U25" s="8"/>
      <c r="V25" s="8"/>
      <c r="W25" s="8"/>
      <c r="X25" s="8"/>
      <c r="Y25" s="8"/>
      <c r="Z25" s="8"/>
    </row>
    <row r="26" spans="1:26" ht="12.75" customHeight="1" x14ac:dyDescent="0.25">
      <c r="A26" s="8"/>
      <c r="B26" s="31"/>
      <c r="C26" s="32"/>
      <c r="D26" s="32"/>
      <c r="E26" s="32"/>
      <c r="F26" s="32"/>
      <c r="G26" s="8"/>
      <c r="H26" s="8"/>
      <c r="I26" s="8"/>
      <c r="J26" s="8"/>
      <c r="K26" s="8"/>
      <c r="L26" s="8"/>
      <c r="M26" s="8"/>
      <c r="N26" s="8"/>
      <c r="O26" s="8"/>
      <c r="P26" s="8"/>
      <c r="Q26" s="8"/>
      <c r="R26" s="8"/>
      <c r="S26" s="8"/>
      <c r="T26" s="8"/>
      <c r="U26" s="8"/>
      <c r="V26" s="8"/>
      <c r="W26" s="8"/>
      <c r="X26" s="8"/>
      <c r="Y26" s="8"/>
      <c r="Z26" s="8"/>
    </row>
    <row r="27" spans="1:26" ht="12.75" customHeight="1" x14ac:dyDescent="0.25">
      <c r="A27" s="8"/>
      <c r="B27" s="31"/>
      <c r="C27" s="32"/>
      <c r="D27" s="32"/>
      <c r="E27" s="32"/>
      <c r="F27" s="32"/>
      <c r="G27" s="8"/>
      <c r="H27" s="8"/>
      <c r="I27" s="8"/>
      <c r="J27" s="8"/>
      <c r="K27" s="8"/>
      <c r="L27" s="8"/>
      <c r="M27" s="8"/>
      <c r="N27" s="8"/>
      <c r="O27" s="8"/>
      <c r="P27" s="8"/>
      <c r="Q27" s="8"/>
      <c r="R27" s="8"/>
      <c r="S27" s="8"/>
      <c r="T27" s="8"/>
      <c r="U27" s="8"/>
      <c r="V27" s="8"/>
      <c r="W27" s="8"/>
      <c r="X27" s="8"/>
      <c r="Y27" s="8"/>
      <c r="Z27" s="8"/>
    </row>
    <row r="28" spans="1:26" ht="12.75" customHeight="1" x14ac:dyDescent="0.25">
      <c r="A28" s="8"/>
      <c r="B28" s="31"/>
      <c r="C28" s="32"/>
      <c r="D28" s="32"/>
      <c r="E28" s="32"/>
      <c r="F28" s="32"/>
      <c r="G28" s="8"/>
      <c r="H28" s="8"/>
      <c r="I28" s="8"/>
      <c r="J28" s="8"/>
      <c r="K28" s="8"/>
      <c r="L28" s="8"/>
      <c r="M28" s="8"/>
      <c r="N28" s="8"/>
      <c r="O28" s="8"/>
      <c r="P28" s="8"/>
      <c r="Q28" s="8"/>
      <c r="R28" s="8"/>
      <c r="S28" s="8"/>
      <c r="T28" s="8"/>
      <c r="U28" s="8"/>
      <c r="V28" s="8"/>
      <c r="W28" s="8"/>
      <c r="X28" s="8"/>
      <c r="Y28" s="8"/>
      <c r="Z28" s="8"/>
    </row>
    <row r="29" spans="1:26" ht="12.75" customHeight="1" x14ac:dyDescent="0.25">
      <c r="A29" s="8"/>
      <c r="B29" s="31"/>
      <c r="C29" s="32"/>
      <c r="D29" s="32"/>
      <c r="E29" s="32"/>
      <c r="F29" s="32"/>
      <c r="G29" s="8"/>
      <c r="H29" s="8"/>
      <c r="I29" s="8"/>
      <c r="J29" s="8"/>
      <c r="K29" s="8"/>
      <c r="L29" s="8"/>
      <c r="M29" s="8"/>
      <c r="N29" s="8"/>
      <c r="O29" s="8"/>
      <c r="P29" s="8"/>
      <c r="Q29" s="8"/>
      <c r="R29" s="8"/>
      <c r="S29" s="8"/>
      <c r="T29" s="8"/>
      <c r="U29" s="8"/>
      <c r="V29" s="8"/>
      <c r="W29" s="8"/>
      <c r="X29" s="8"/>
      <c r="Y29" s="8"/>
      <c r="Z29" s="8"/>
    </row>
    <row r="30" spans="1:26" ht="12.75" customHeight="1" x14ac:dyDescent="0.25">
      <c r="A30" s="8"/>
      <c r="B30" s="31"/>
      <c r="C30" s="32"/>
      <c r="D30" s="32"/>
      <c r="E30" s="32"/>
      <c r="F30" s="32"/>
      <c r="G30" s="8"/>
      <c r="H30" s="8"/>
      <c r="I30" s="8"/>
      <c r="J30" s="8"/>
      <c r="K30" s="8"/>
      <c r="L30" s="8"/>
      <c r="M30" s="8"/>
      <c r="N30" s="8"/>
      <c r="O30" s="8"/>
      <c r="P30" s="8"/>
      <c r="Q30" s="8"/>
      <c r="R30" s="8"/>
      <c r="S30" s="8"/>
      <c r="T30" s="8"/>
      <c r="U30" s="8"/>
      <c r="V30" s="8"/>
      <c r="W30" s="8"/>
      <c r="X30" s="8"/>
      <c r="Y30" s="8"/>
      <c r="Z30" s="8"/>
    </row>
    <row r="31" spans="1:26" ht="12.75" customHeight="1" x14ac:dyDescent="0.25">
      <c r="A31" s="8"/>
      <c r="B31" s="31"/>
      <c r="C31" s="32"/>
      <c r="D31" s="32"/>
      <c r="E31" s="32"/>
      <c r="F31" s="32"/>
      <c r="G31" s="8"/>
      <c r="H31" s="8"/>
      <c r="I31" s="8"/>
      <c r="J31" s="8"/>
      <c r="K31" s="8"/>
      <c r="L31" s="8"/>
      <c r="M31" s="8"/>
      <c r="N31" s="8"/>
      <c r="O31" s="8"/>
      <c r="P31" s="8"/>
      <c r="Q31" s="8"/>
      <c r="R31" s="8"/>
      <c r="S31" s="8"/>
      <c r="T31" s="8"/>
      <c r="U31" s="8"/>
      <c r="V31" s="8"/>
      <c r="W31" s="8"/>
      <c r="X31" s="8"/>
      <c r="Y31" s="8"/>
      <c r="Z31" s="8"/>
    </row>
    <row r="32" spans="1:26" ht="12.75" customHeight="1" x14ac:dyDescent="0.25">
      <c r="A32" s="8"/>
      <c r="B32" s="31"/>
      <c r="C32" s="32"/>
      <c r="D32" s="32"/>
      <c r="E32" s="32"/>
      <c r="F32" s="32"/>
      <c r="G32" s="8"/>
      <c r="H32" s="8"/>
      <c r="I32" s="8"/>
      <c r="J32" s="8"/>
      <c r="K32" s="8"/>
      <c r="L32" s="8"/>
      <c r="M32" s="8"/>
      <c r="N32" s="8"/>
      <c r="O32" s="8"/>
      <c r="P32" s="8"/>
      <c r="Q32" s="8"/>
      <c r="R32" s="8"/>
      <c r="S32" s="8"/>
      <c r="T32" s="8"/>
      <c r="U32" s="8"/>
      <c r="V32" s="8"/>
      <c r="W32" s="8"/>
      <c r="X32" s="8"/>
      <c r="Y32" s="8"/>
      <c r="Z32" s="8"/>
    </row>
    <row r="33" spans="1:26" ht="12.75" customHeight="1" x14ac:dyDescent="0.25">
      <c r="A33" s="8"/>
      <c r="B33" s="31"/>
      <c r="C33" s="32"/>
      <c r="D33" s="32"/>
      <c r="E33" s="32"/>
      <c r="F33" s="32"/>
      <c r="G33" s="8"/>
      <c r="H33" s="8"/>
      <c r="I33" s="8"/>
      <c r="J33" s="8"/>
      <c r="K33" s="8"/>
      <c r="L33" s="8"/>
      <c r="M33" s="8"/>
      <c r="N33" s="8"/>
      <c r="O33" s="8"/>
      <c r="P33" s="8"/>
      <c r="Q33" s="8"/>
      <c r="R33" s="8"/>
      <c r="S33" s="8"/>
      <c r="T33" s="8"/>
      <c r="U33" s="8"/>
      <c r="V33" s="8"/>
      <c r="W33" s="8"/>
      <c r="X33" s="8"/>
      <c r="Y33" s="8"/>
      <c r="Z33" s="8"/>
    </row>
    <row r="34" spans="1:26" ht="12.75" customHeight="1" x14ac:dyDescent="0.25">
      <c r="A34" s="8"/>
      <c r="B34" s="31"/>
      <c r="C34" s="32"/>
      <c r="D34" s="32"/>
      <c r="E34" s="32"/>
      <c r="F34" s="32"/>
      <c r="G34" s="8"/>
      <c r="H34" s="8"/>
      <c r="I34" s="8"/>
      <c r="J34" s="8"/>
      <c r="K34" s="8"/>
      <c r="L34" s="8"/>
      <c r="M34" s="8"/>
      <c r="N34" s="8"/>
      <c r="O34" s="8"/>
      <c r="P34" s="8"/>
      <c r="Q34" s="8"/>
      <c r="R34" s="8"/>
      <c r="S34" s="8"/>
      <c r="T34" s="8"/>
      <c r="U34" s="8"/>
      <c r="V34" s="8"/>
      <c r="W34" s="8"/>
      <c r="X34" s="8"/>
      <c r="Y34" s="8"/>
      <c r="Z34" s="8"/>
    </row>
    <row r="35" spans="1:26" ht="12.75" customHeight="1" x14ac:dyDescent="0.25">
      <c r="A35" s="8"/>
      <c r="B35" s="31"/>
      <c r="C35" s="32"/>
      <c r="D35" s="32"/>
      <c r="E35" s="32"/>
      <c r="F35" s="32"/>
      <c r="G35" s="8"/>
      <c r="H35" s="8"/>
      <c r="I35" s="8"/>
      <c r="J35" s="8"/>
      <c r="K35" s="8"/>
      <c r="L35" s="8"/>
      <c r="M35" s="8"/>
      <c r="N35" s="8"/>
      <c r="O35" s="8"/>
      <c r="P35" s="8"/>
      <c r="Q35" s="8"/>
      <c r="R35" s="8"/>
      <c r="S35" s="8"/>
      <c r="T35" s="8"/>
      <c r="U35" s="8"/>
      <c r="V35" s="8"/>
      <c r="W35" s="8"/>
      <c r="X35" s="8"/>
      <c r="Y35" s="8"/>
      <c r="Z35" s="8"/>
    </row>
    <row r="36" spans="1:26" ht="12.75" customHeight="1" x14ac:dyDescent="0.25">
      <c r="A36" s="8"/>
      <c r="B36" s="31"/>
      <c r="C36" s="32"/>
      <c r="D36" s="32"/>
      <c r="E36" s="32"/>
      <c r="F36" s="32"/>
      <c r="G36" s="8"/>
      <c r="H36" s="8"/>
      <c r="I36" s="8"/>
      <c r="J36" s="8"/>
      <c r="K36" s="8"/>
      <c r="L36" s="8"/>
      <c r="M36" s="8"/>
      <c r="N36" s="8"/>
      <c r="O36" s="8"/>
      <c r="P36" s="8"/>
      <c r="Q36" s="8"/>
      <c r="R36" s="8"/>
      <c r="S36" s="8"/>
      <c r="T36" s="8"/>
      <c r="U36" s="8"/>
      <c r="V36" s="8"/>
      <c r="W36" s="8"/>
      <c r="X36" s="8"/>
      <c r="Y36" s="8"/>
      <c r="Z36" s="8"/>
    </row>
    <row r="37" spans="1:26" ht="12.75" customHeight="1" x14ac:dyDescent="0.25">
      <c r="A37" s="8"/>
      <c r="B37" s="31"/>
      <c r="C37" s="32"/>
      <c r="D37" s="32"/>
      <c r="E37" s="32"/>
      <c r="F37" s="32"/>
      <c r="G37" s="8"/>
      <c r="H37" s="8"/>
      <c r="I37" s="8"/>
      <c r="J37" s="8"/>
      <c r="K37" s="8"/>
      <c r="L37" s="8"/>
      <c r="M37" s="8"/>
      <c r="N37" s="8"/>
      <c r="O37" s="8"/>
      <c r="P37" s="8"/>
      <c r="Q37" s="8"/>
      <c r="R37" s="8"/>
      <c r="S37" s="8"/>
      <c r="T37" s="8"/>
      <c r="U37" s="8"/>
      <c r="V37" s="8"/>
      <c r="W37" s="8"/>
      <c r="X37" s="8"/>
      <c r="Y37" s="8"/>
      <c r="Z37" s="8"/>
    </row>
    <row r="38" spans="1:26" ht="12.75" customHeight="1" x14ac:dyDescent="0.25">
      <c r="A38" s="8"/>
      <c r="B38" s="31"/>
      <c r="C38" s="32"/>
      <c r="D38" s="32"/>
      <c r="E38" s="32"/>
      <c r="F38" s="32"/>
      <c r="G38" s="8"/>
      <c r="H38" s="8"/>
      <c r="I38" s="8"/>
      <c r="J38" s="8"/>
      <c r="K38" s="8"/>
      <c r="L38" s="8"/>
      <c r="M38" s="8"/>
      <c r="N38" s="8"/>
      <c r="O38" s="8"/>
      <c r="P38" s="8"/>
      <c r="Q38" s="8"/>
      <c r="R38" s="8"/>
      <c r="S38" s="8"/>
      <c r="T38" s="8"/>
      <c r="U38" s="8"/>
      <c r="V38" s="8"/>
      <c r="W38" s="8"/>
      <c r="X38" s="8"/>
      <c r="Y38" s="8"/>
      <c r="Z38" s="8"/>
    </row>
    <row r="39" spans="1:26" ht="12.75" customHeight="1" x14ac:dyDescent="0.25">
      <c r="A39" s="8"/>
      <c r="B39" s="31"/>
      <c r="C39" s="32"/>
      <c r="D39" s="32"/>
      <c r="E39" s="32"/>
      <c r="F39" s="32"/>
      <c r="G39" s="8"/>
      <c r="H39" s="8"/>
      <c r="I39" s="8"/>
      <c r="J39" s="8"/>
      <c r="K39" s="8"/>
      <c r="L39" s="8"/>
      <c r="M39" s="8"/>
      <c r="N39" s="8"/>
      <c r="O39" s="8"/>
      <c r="P39" s="8"/>
      <c r="Q39" s="8"/>
      <c r="R39" s="8"/>
      <c r="S39" s="8"/>
      <c r="T39" s="8"/>
      <c r="U39" s="8"/>
      <c r="V39" s="8"/>
      <c r="W39" s="8"/>
      <c r="X39" s="8"/>
      <c r="Y39" s="8"/>
      <c r="Z39" s="8"/>
    </row>
    <row r="40" spans="1:26" ht="12.75" customHeight="1" x14ac:dyDescent="0.25">
      <c r="A40" s="8"/>
      <c r="B40" s="31"/>
      <c r="C40" s="32"/>
      <c r="D40" s="32"/>
      <c r="E40" s="32"/>
      <c r="F40" s="32"/>
      <c r="G40" s="8"/>
      <c r="H40" s="8"/>
      <c r="I40" s="8"/>
      <c r="J40" s="8"/>
      <c r="K40" s="8"/>
      <c r="L40" s="8"/>
      <c r="M40" s="8"/>
      <c r="N40" s="8"/>
      <c r="O40" s="8"/>
      <c r="P40" s="8"/>
      <c r="Q40" s="8"/>
      <c r="R40" s="8"/>
      <c r="S40" s="8"/>
      <c r="T40" s="8"/>
      <c r="U40" s="8"/>
      <c r="V40" s="8"/>
      <c r="W40" s="8"/>
      <c r="X40" s="8"/>
      <c r="Y40" s="8"/>
      <c r="Z40" s="8"/>
    </row>
    <row r="41" spans="1:26" ht="12.75" customHeight="1" x14ac:dyDescent="0.25">
      <c r="A41" s="8"/>
      <c r="B41" s="31"/>
      <c r="C41" s="32"/>
      <c r="D41" s="32"/>
      <c r="E41" s="32"/>
      <c r="F41" s="32"/>
      <c r="G41" s="8"/>
      <c r="H41" s="8"/>
      <c r="I41" s="8"/>
      <c r="J41" s="8"/>
      <c r="K41" s="8"/>
      <c r="L41" s="8"/>
      <c r="M41" s="8"/>
      <c r="N41" s="8"/>
      <c r="O41" s="8"/>
      <c r="P41" s="8"/>
      <c r="Q41" s="8"/>
      <c r="R41" s="8"/>
      <c r="S41" s="8"/>
      <c r="T41" s="8"/>
      <c r="U41" s="8"/>
      <c r="V41" s="8"/>
      <c r="W41" s="8"/>
      <c r="X41" s="8"/>
      <c r="Y41" s="8"/>
      <c r="Z41" s="8"/>
    </row>
    <row r="42" spans="1:26" ht="12.75" customHeight="1" x14ac:dyDescent="0.25">
      <c r="A42" s="8"/>
      <c r="B42" s="31"/>
      <c r="C42" s="32"/>
      <c r="D42" s="32"/>
      <c r="E42" s="32"/>
      <c r="F42" s="32"/>
      <c r="G42" s="8"/>
      <c r="H42" s="8"/>
      <c r="I42" s="8"/>
      <c r="J42" s="8"/>
      <c r="K42" s="8"/>
      <c r="L42" s="8"/>
      <c r="M42" s="8"/>
      <c r="N42" s="8"/>
      <c r="O42" s="8"/>
      <c r="P42" s="8"/>
      <c r="Q42" s="8"/>
      <c r="R42" s="8"/>
      <c r="S42" s="8"/>
      <c r="T42" s="8"/>
      <c r="U42" s="8"/>
      <c r="V42" s="8"/>
      <c r="W42" s="8"/>
      <c r="X42" s="8"/>
      <c r="Y42" s="8"/>
      <c r="Z42" s="8"/>
    </row>
    <row r="43" spans="1:26" ht="12.75" customHeight="1" x14ac:dyDescent="0.25">
      <c r="A43" s="8"/>
      <c r="B43" s="31"/>
      <c r="C43" s="32"/>
      <c r="D43" s="32"/>
      <c r="E43" s="32"/>
      <c r="F43" s="32"/>
      <c r="G43" s="8"/>
      <c r="H43" s="8"/>
      <c r="I43" s="8"/>
      <c r="J43" s="8"/>
      <c r="K43" s="8"/>
      <c r="L43" s="8"/>
      <c r="M43" s="8"/>
      <c r="N43" s="8"/>
      <c r="O43" s="8"/>
      <c r="P43" s="8"/>
      <c r="Q43" s="8"/>
      <c r="R43" s="8"/>
      <c r="S43" s="8"/>
      <c r="T43" s="8"/>
      <c r="U43" s="8"/>
      <c r="V43" s="8"/>
      <c r="W43" s="8"/>
      <c r="X43" s="8"/>
      <c r="Y43" s="8"/>
      <c r="Z43" s="8"/>
    </row>
    <row r="44" spans="1:26" ht="12.75" customHeight="1" x14ac:dyDescent="0.25">
      <c r="A44" s="8"/>
      <c r="B44" s="31"/>
      <c r="C44" s="32"/>
      <c r="D44" s="32"/>
      <c r="E44" s="32"/>
      <c r="F44" s="32"/>
      <c r="G44" s="8"/>
      <c r="H44" s="8"/>
      <c r="I44" s="8"/>
      <c r="J44" s="8"/>
      <c r="K44" s="8"/>
      <c r="L44" s="8"/>
      <c r="M44" s="8"/>
      <c r="N44" s="8"/>
      <c r="O44" s="8"/>
      <c r="P44" s="8"/>
      <c r="Q44" s="8"/>
      <c r="R44" s="8"/>
      <c r="S44" s="8"/>
      <c r="T44" s="8"/>
      <c r="U44" s="8"/>
      <c r="V44" s="8"/>
      <c r="W44" s="8"/>
      <c r="X44" s="8"/>
      <c r="Y44" s="8"/>
      <c r="Z44" s="8"/>
    </row>
    <row r="45" spans="1:26" ht="12.75" customHeight="1" x14ac:dyDescent="0.25">
      <c r="A45" s="8"/>
      <c r="B45" s="31"/>
      <c r="C45" s="32"/>
      <c r="D45" s="32"/>
      <c r="E45" s="32"/>
      <c r="F45" s="32"/>
      <c r="G45" s="8"/>
      <c r="H45" s="8"/>
      <c r="I45" s="8"/>
      <c r="J45" s="8"/>
      <c r="K45" s="8"/>
      <c r="L45" s="8"/>
      <c r="M45" s="8"/>
      <c r="N45" s="8"/>
      <c r="O45" s="8"/>
      <c r="P45" s="8"/>
      <c r="Q45" s="8"/>
      <c r="R45" s="8"/>
      <c r="S45" s="8"/>
      <c r="T45" s="8"/>
      <c r="U45" s="8"/>
      <c r="V45" s="8"/>
      <c r="W45" s="8"/>
      <c r="X45" s="8"/>
      <c r="Y45" s="8"/>
      <c r="Z45" s="8"/>
    </row>
    <row r="46" spans="1:26" ht="12.75" customHeight="1" x14ac:dyDescent="0.25">
      <c r="A46" s="8"/>
      <c r="B46" s="31"/>
      <c r="C46" s="32"/>
      <c r="D46" s="32"/>
      <c r="E46" s="32"/>
      <c r="F46" s="32"/>
      <c r="G46" s="8"/>
      <c r="H46" s="8"/>
      <c r="I46" s="8"/>
      <c r="J46" s="8"/>
      <c r="K46" s="8"/>
      <c r="L46" s="8"/>
      <c r="M46" s="8"/>
      <c r="N46" s="8"/>
      <c r="O46" s="8"/>
      <c r="P46" s="8"/>
      <c r="Q46" s="8"/>
      <c r="R46" s="8"/>
      <c r="S46" s="8"/>
      <c r="T46" s="8"/>
      <c r="U46" s="8"/>
      <c r="V46" s="8"/>
      <c r="W46" s="8"/>
      <c r="X46" s="8"/>
      <c r="Y46" s="8"/>
      <c r="Z46" s="8"/>
    </row>
    <row r="47" spans="1:26" ht="12.75" customHeight="1" x14ac:dyDescent="0.25">
      <c r="A47" s="8"/>
      <c r="B47" s="31"/>
      <c r="C47" s="32"/>
      <c r="D47" s="32"/>
      <c r="E47" s="32"/>
      <c r="F47" s="32"/>
      <c r="G47" s="8"/>
      <c r="H47" s="8"/>
      <c r="I47" s="8"/>
      <c r="J47" s="8"/>
      <c r="K47" s="8"/>
      <c r="L47" s="8"/>
      <c r="M47" s="8"/>
      <c r="N47" s="8"/>
      <c r="O47" s="8"/>
      <c r="P47" s="8"/>
      <c r="Q47" s="8"/>
      <c r="R47" s="8"/>
      <c r="S47" s="8"/>
      <c r="T47" s="8"/>
      <c r="U47" s="8"/>
      <c r="V47" s="8"/>
      <c r="W47" s="8"/>
      <c r="X47" s="8"/>
      <c r="Y47" s="8"/>
      <c r="Z47" s="8"/>
    </row>
    <row r="48" spans="1:26" ht="12.75" customHeight="1" x14ac:dyDescent="0.25">
      <c r="A48" s="8"/>
      <c r="B48" s="31"/>
      <c r="C48" s="32"/>
      <c r="D48" s="32"/>
      <c r="E48" s="32"/>
      <c r="F48" s="32"/>
      <c r="G48" s="8"/>
      <c r="H48" s="8"/>
      <c r="I48" s="8"/>
      <c r="J48" s="8"/>
      <c r="K48" s="8"/>
      <c r="L48" s="8"/>
      <c r="M48" s="8"/>
      <c r="N48" s="8"/>
      <c r="O48" s="8"/>
      <c r="P48" s="8"/>
      <c r="Q48" s="8"/>
      <c r="R48" s="8"/>
      <c r="S48" s="8"/>
      <c r="T48" s="8"/>
      <c r="U48" s="8"/>
      <c r="V48" s="8"/>
      <c r="W48" s="8"/>
      <c r="X48" s="8"/>
      <c r="Y48" s="8"/>
      <c r="Z48" s="8"/>
    </row>
    <row r="49" spans="1:26" ht="12.75" customHeight="1" x14ac:dyDescent="0.25">
      <c r="A49" s="8"/>
      <c r="B49" s="31"/>
      <c r="C49" s="32"/>
      <c r="D49" s="32"/>
      <c r="E49" s="32"/>
      <c r="F49" s="32"/>
      <c r="G49" s="8"/>
      <c r="H49" s="8"/>
      <c r="I49" s="8"/>
      <c r="J49" s="8"/>
      <c r="K49" s="8"/>
      <c r="L49" s="8"/>
      <c r="M49" s="8"/>
      <c r="N49" s="8"/>
      <c r="O49" s="8"/>
      <c r="P49" s="8"/>
      <c r="Q49" s="8"/>
      <c r="R49" s="8"/>
      <c r="S49" s="8"/>
      <c r="T49" s="8"/>
      <c r="U49" s="8"/>
      <c r="V49" s="8"/>
      <c r="W49" s="8"/>
      <c r="X49" s="8"/>
      <c r="Y49" s="8"/>
      <c r="Z49" s="8"/>
    </row>
    <row r="50" spans="1:26" ht="12.75" customHeight="1" x14ac:dyDescent="0.25">
      <c r="A50" s="8"/>
      <c r="B50" s="31"/>
      <c r="C50" s="32"/>
      <c r="D50" s="32"/>
      <c r="E50" s="32"/>
      <c r="F50" s="32"/>
      <c r="G50" s="8"/>
      <c r="H50" s="8"/>
      <c r="I50" s="8"/>
      <c r="J50" s="8"/>
      <c r="K50" s="8"/>
      <c r="L50" s="8"/>
      <c r="M50" s="8"/>
      <c r="N50" s="8"/>
      <c r="O50" s="8"/>
      <c r="P50" s="8"/>
      <c r="Q50" s="8"/>
      <c r="R50" s="8"/>
      <c r="S50" s="8"/>
      <c r="T50" s="8"/>
      <c r="U50" s="8"/>
      <c r="V50" s="8"/>
      <c r="W50" s="8"/>
      <c r="X50" s="8"/>
      <c r="Y50" s="8"/>
      <c r="Z50" s="8"/>
    </row>
    <row r="51" spans="1:26" ht="12.75" customHeight="1" x14ac:dyDescent="0.25">
      <c r="A51" s="8"/>
      <c r="B51" s="31"/>
      <c r="C51" s="32"/>
      <c r="D51" s="32"/>
      <c r="E51" s="32"/>
      <c r="F51" s="32"/>
      <c r="G51" s="8"/>
      <c r="H51" s="8"/>
      <c r="I51" s="8"/>
      <c r="J51" s="8"/>
      <c r="K51" s="8"/>
      <c r="L51" s="8"/>
      <c r="M51" s="8"/>
      <c r="N51" s="8"/>
      <c r="O51" s="8"/>
      <c r="P51" s="8"/>
      <c r="Q51" s="8"/>
      <c r="R51" s="8"/>
      <c r="S51" s="8"/>
      <c r="T51" s="8"/>
      <c r="U51" s="8"/>
      <c r="V51" s="8"/>
      <c r="W51" s="8"/>
      <c r="X51" s="8"/>
      <c r="Y51" s="8"/>
      <c r="Z51" s="8"/>
    </row>
    <row r="52" spans="1:26" ht="12.75" customHeight="1" x14ac:dyDescent="0.25">
      <c r="A52" s="8"/>
      <c r="B52" s="31"/>
      <c r="C52" s="32"/>
      <c r="D52" s="32"/>
      <c r="E52" s="32"/>
      <c r="F52" s="32"/>
      <c r="G52" s="8"/>
      <c r="H52" s="8"/>
      <c r="I52" s="8"/>
      <c r="J52" s="8"/>
      <c r="K52" s="8"/>
      <c r="L52" s="8"/>
      <c r="M52" s="8"/>
      <c r="N52" s="8"/>
      <c r="O52" s="8"/>
      <c r="P52" s="8"/>
      <c r="Q52" s="8"/>
      <c r="R52" s="8"/>
      <c r="S52" s="8"/>
      <c r="T52" s="8"/>
      <c r="U52" s="8"/>
      <c r="V52" s="8"/>
      <c r="W52" s="8"/>
      <c r="X52" s="8"/>
      <c r="Y52" s="8"/>
      <c r="Z52" s="8"/>
    </row>
    <row r="53" spans="1:26" ht="12.75" customHeight="1" x14ac:dyDescent="0.25">
      <c r="A53" s="8"/>
      <c r="B53" s="31"/>
      <c r="C53" s="32"/>
      <c r="D53" s="32"/>
      <c r="E53" s="32"/>
      <c r="F53" s="32"/>
      <c r="G53" s="8"/>
      <c r="H53" s="8"/>
      <c r="I53" s="8"/>
      <c r="J53" s="8"/>
      <c r="K53" s="8"/>
      <c r="L53" s="8"/>
      <c r="M53" s="8"/>
      <c r="N53" s="8"/>
      <c r="O53" s="8"/>
      <c r="P53" s="8"/>
      <c r="Q53" s="8"/>
      <c r="R53" s="8"/>
      <c r="S53" s="8"/>
      <c r="T53" s="8"/>
      <c r="U53" s="8"/>
      <c r="V53" s="8"/>
      <c r="W53" s="8"/>
      <c r="X53" s="8"/>
      <c r="Y53" s="8"/>
      <c r="Z53" s="8"/>
    </row>
    <row r="54" spans="1:26" ht="12.75" customHeight="1" x14ac:dyDescent="0.25">
      <c r="A54" s="8"/>
      <c r="B54" s="31"/>
      <c r="C54" s="32"/>
      <c r="D54" s="32"/>
      <c r="E54" s="32"/>
      <c r="F54" s="32"/>
      <c r="G54" s="8"/>
      <c r="H54" s="8"/>
      <c r="I54" s="8"/>
      <c r="J54" s="8"/>
      <c r="K54" s="8"/>
      <c r="L54" s="8"/>
      <c r="M54" s="8"/>
      <c r="N54" s="8"/>
      <c r="O54" s="8"/>
      <c r="P54" s="8"/>
      <c r="Q54" s="8"/>
      <c r="R54" s="8"/>
      <c r="S54" s="8"/>
      <c r="T54" s="8"/>
      <c r="U54" s="8"/>
      <c r="V54" s="8"/>
      <c r="W54" s="8"/>
      <c r="X54" s="8"/>
      <c r="Y54" s="8"/>
      <c r="Z54" s="8"/>
    </row>
    <row r="55" spans="1:26" ht="12.75" customHeight="1" x14ac:dyDescent="0.25">
      <c r="A55" s="8"/>
      <c r="B55" s="31"/>
      <c r="C55" s="32"/>
      <c r="D55" s="32"/>
      <c r="E55" s="32"/>
      <c r="F55" s="32"/>
      <c r="G55" s="8"/>
      <c r="H55" s="8"/>
      <c r="I55" s="8"/>
      <c r="J55" s="8"/>
      <c r="K55" s="8"/>
      <c r="L55" s="8"/>
      <c r="M55" s="8"/>
      <c r="N55" s="8"/>
      <c r="O55" s="8"/>
      <c r="P55" s="8"/>
      <c r="Q55" s="8"/>
      <c r="R55" s="8"/>
      <c r="S55" s="8"/>
      <c r="T55" s="8"/>
      <c r="U55" s="8"/>
      <c r="V55" s="8"/>
      <c r="W55" s="8"/>
      <c r="X55" s="8"/>
      <c r="Y55" s="8"/>
      <c r="Z55" s="8"/>
    </row>
    <row r="56" spans="1:26" ht="12.75" customHeight="1" x14ac:dyDescent="0.25">
      <c r="A56" s="8"/>
      <c r="B56" s="31"/>
      <c r="C56" s="32"/>
      <c r="D56" s="32"/>
      <c r="E56" s="32"/>
      <c r="F56" s="32"/>
      <c r="G56" s="8"/>
      <c r="H56" s="8"/>
      <c r="I56" s="8"/>
      <c r="J56" s="8"/>
      <c r="K56" s="8"/>
      <c r="L56" s="8"/>
      <c r="M56" s="8"/>
      <c r="N56" s="8"/>
      <c r="O56" s="8"/>
      <c r="P56" s="8"/>
      <c r="Q56" s="8"/>
      <c r="R56" s="8"/>
      <c r="S56" s="8"/>
      <c r="T56" s="8"/>
      <c r="U56" s="8"/>
      <c r="V56" s="8"/>
      <c r="W56" s="8"/>
      <c r="X56" s="8"/>
      <c r="Y56" s="8"/>
      <c r="Z56" s="8"/>
    </row>
    <row r="57" spans="1:26" ht="12.75" customHeight="1" x14ac:dyDescent="0.25">
      <c r="A57" s="8"/>
      <c r="B57" s="31"/>
      <c r="C57" s="32"/>
      <c r="D57" s="32"/>
      <c r="E57" s="32"/>
      <c r="F57" s="32"/>
      <c r="G57" s="8"/>
      <c r="H57" s="8"/>
      <c r="I57" s="8"/>
      <c r="J57" s="8"/>
      <c r="K57" s="8"/>
      <c r="L57" s="8"/>
      <c r="M57" s="8"/>
      <c r="N57" s="8"/>
      <c r="O57" s="8"/>
      <c r="P57" s="8"/>
      <c r="Q57" s="8"/>
      <c r="R57" s="8"/>
      <c r="S57" s="8"/>
      <c r="T57" s="8"/>
      <c r="U57" s="8"/>
      <c r="V57" s="8"/>
      <c r="W57" s="8"/>
      <c r="X57" s="8"/>
      <c r="Y57" s="8"/>
      <c r="Z57" s="8"/>
    </row>
    <row r="58" spans="1:26" ht="12.75" customHeight="1" x14ac:dyDescent="0.25">
      <c r="A58" s="8"/>
      <c r="B58" s="31"/>
      <c r="C58" s="32"/>
      <c r="D58" s="32"/>
      <c r="E58" s="32"/>
      <c r="F58" s="32"/>
      <c r="G58" s="8"/>
      <c r="H58" s="8"/>
      <c r="I58" s="8"/>
      <c r="J58" s="8"/>
      <c r="K58" s="8"/>
      <c r="L58" s="8"/>
      <c r="M58" s="8"/>
      <c r="N58" s="8"/>
      <c r="O58" s="8"/>
      <c r="P58" s="8"/>
      <c r="Q58" s="8"/>
      <c r="R58" s="8"/>
      <c r="S58" s="8"/>
      <c r="T58" s="8"/>
      <c r="U58" s="8"/>
      <c r="V58" s="8"/>
      <c r="W58" s="8"/>
      <c r="X58" s="8"/>
      <c r="Y58" s="8"/>
      <c r="Z58" s="8"/>
    </row>
    <row r="59" spans="1:26" ht="12.75" customHeight="1" x14ac:dyDescent="0.25">
      <c r="A59" s="8"/>
      <c r="B59" s="31"/>
      <c r="C59" s="32"/>
      <c r="D59" s="32"/>
      <c r="E59" s="32"/>
      <c r="F59" s="32"/>
      <c r="G59" s="8"/>
      <c r="H59" s="8"/>
      <c r="I59" s="8"/>
      <c r="J59" s="8"/>
      <c r="K59" s="8"/>
      <c r="L59" s="8"/>
      <c r="M59" s="8"/>
      <c r="N59" s="8"/>
      <c r="O59" s="8"/>
      <c r="P59" s="8"/>
      <c r="Q59" s="8"/>
      <c r="R59" s="8"/>
      <c r="S59" s="8"/>
      <c r="T59" s="8"/>
      <c r="U59" s="8"/>
      <c r="V59" s="8"/>
      <c r="W59" s="8"/>
      <c r="X59" s="8"/>
      <c r="Y59" s="8"/>
      <c r="Z59" s="8"/>
    </row>
    <row r="60" spans="1:26" ht="12.75" customHeight="1" x14ac:dyDescent="0.25">
      <c r="A60" s="8"/>
      <c r="B60" s="31"/>
      <c r="C60" s="32"/>
      <c r="D60" s="32"/>
      <c r="E60" s="32"/>
      <c r="F60" s="32"/>
      <c r="G60" s="8"/>
      <c r="H60" s="8"/>
      <c r="I60" s="8"/>
      <c r="J60" s="8"/>
      <c r="K60" s="8"/>
      <c r="L60" s="8"/>
      <c r="M60" s="8"/>
      <c r="N60" s="8"/>
      <c r="O60" s="8"/>
      <c r="P60" s="8"/>
      <c r="Q60" s="8"/>
      <c r="R60" s="8"/>
      <c r="S60" s="8"/>
      <c r="T60" s="8"/>
      <c r="U60" s="8"/>
      <c r="V60" s="8"/>
      <c r="W60" s="8"/>
      <c r="X60" s="8"/>
      <c r="Y60" s="8"/>
      <c r="Z60" s="8"/>
    </row>
    <row r="61" spans="1:26" ht="12.75" customHeight="1" x14ac:dyDescent="0.25">
      <c r="A61" s="8"/>
      <c r="B61" s="31"/>
      <c r="C61" s="32"/>
      <c r="D61" s="32"/>
      <c r="E61" s="32"/>
      <c r="F61" s="32"/>
      <c r="G61" s="8"/>
      <c r="H61" s="8"/>
      <c r="I61" s="8"/>
      <c r="J61" s="8"/>
      <c r="K61" s="8"/>
      <c r="L61" s="8"/>
      <c r="M61" s="8"/>
      <c r="N61" s="8"/>
      <c r="O61" s="8"/>
      <c r="P61" s="8"/>
      <c r="Q61" s="8"/>
      <c r="R61" s="8"/>
      <c r="S61" s="8"/>
      <c r="T61" s="8"/>
      <c r="U61" s="8"/>
      <c r="V61" s="8"/>
      <c r="W61" s="8"/>
      <c r="X61" s="8"/>
      <c r="Y61" s="8"/>
      <c r="Z61" s="8"/>
    </row>
    <row r="62" spans="1:26" ht="12.75" customHeight="1" x14ac:dyDescent="0.25">
      <c r="A62" s="8"/>
      <c r="B62" s="31"/>
      <c r="C62" s="32"/>
      <c r="D62" s="32"/>
      <c r="E62" s="32"/>
      <c r="F62" s="32"/>
      <c r="G62" s="8"/>
      <c r="H62" s="8"/>
      <c r="I62" s="8"/>
      <c r="J62" s="8"/>
      <c r="K62" s="8"/>
      <c r="L62" s="8"/>
      <c r="M62" s="8"/>
      <c r="N62" s="8"/>
      <c r="O62" s="8"/>
      <c r="P62" s="8"/>
      <c r="Q62" s="8"/>
      <c r="R62" s="8"/>
      <c r="S62" s="8"/>
      <c r="T62" s="8"/>
      <c r="U62" s="8"/>
      <c r="V62" s="8"/>
      <c r="W62" s="8"/>
      <c r="X62" s="8"/>
      <c r="Y62" s="8"/>
      <c r="Z62" s="8"/>
    </row>
    <row r="63" spans="1:26" ht="12.75" customHeight="1" x14ac:dyDescent="0.25">
      <c r="A63" s="8"/>
      <c r="B63" s="31"/>
      <c r="C63" s="32"/>
      <c r="D63" s="32"/>
      <c r="E63" s="32"/>
      <c r="F63" s="32"/>
      <c r="G63" s="8"/>
      <c r="H63" s="8"/>
      <c r="I63" s="8"/>
      <c r="J63" s="8"/>
      <c r="K63" s="8"/>
      <c r="L63" s="8"/>
      <c r="M63" s="8"/>
      <c r="N63" s="8"/>
      <c r="O63" s="8"/>
      <c r="P63" s="8"/>
      <c r="Q63" s="8"/>
      <c r="R63" s="8"/>
      <c r="S63" s="8"/>
      <c r="T63" s="8"/>
      <c r="U63" s="8"/>
      <c r="V63" s="8"/>
      <c r="W63" s="8"/>
      <c r="X63" s="8"/>
      <c r="Y63" s="8"/>
      <c r="Z63" s="8"/>
    </row>
    <row r="64" spans="1:26" ht="12.75" customHeight="1" x14ac:dyDescent="0.25">
      <c r="A64" s="8"/>
      <c r="B64" s="31"/>
      <c r="C64" s="32"/>
      <c r="D64" s="32"/>
      <c r="E64" s="32"/>
      <c r="F64" s="32"/>
      <c r="G64" s="8"/>
      <c r="H64" s="8"/>
      <c r="I64" s="8"/>
      <c r="J64" s="8"/>
      <c r="K64" s="8"/>
      <c r="L64" s="8"/>
      <c r="M64" s="8"/>
      <c r="N64" s="8"/>
      <c r="O64" s="8"/>
      <c r="P64" s="8"/>
      <c r="Q64" s="8"/>
      <c r="R64" s="8"/>
      <c r="S64" s="8"/>
      <c r="T64" s="8"/>
      <c r="U64" s="8"/>
      <c r="V64" s="8"/>
      <c r="W64" s="8"/>
      <c r="X64" s="8"/>
      <c r="Y64" s="8"/>
      <c r="Z64" s="8"/>
    </row>
    <row r="65" spans="1:26" ht="12.75" customHeight="1" x14ac:dyDescent="0.25">
      <c r="A65" s="8"/>
      <c r="B65" s="31"/>
      <c r="C65" s="32"/>
      <c r="D65" s="32"/>
      <c r="E65" s="32"/>
      <c r="F65" s="32"/>
      <c r="G65" s="8"/>
      <c r="H65" s="8"/>
      <c r="I65" s="8"/>
      <c r="J65" s="8"/>
      <c r="K65" s="8"/>
      <c r="L65" s="8"/>
      <c r="M65" s="8"/>
      <c r="N65" s="8"/>
      <c r="O65" s="8"/>
      <c r="P65" s="8"/>
      <c r="Q65" s="8"/>
      <c r="R65" s="8"/>
      <c r="S65" s="8"/>
      <c r="T65" s="8"/>
      <c r="U65" s="8"/>
      <c r="V65" s="8"/>
      <c r="W65" s="8"/>
      <c r="X65" s="8"/>
      <c r="Y65" s="8"/>
      <c r="Z65" s="8"/>
    </row>
    <row r="66" spans="1:26" ht="12.75" customHeight="1" x14ac:dyDescent="0.25">
      <c r="A66" s="8"/>
      <c r="B66" s="31"/>
      <c r="C66" s="32"/>
      <c r="D66" s="32"/>
      <c r="E66" s="32"/>
      <c r="F66" s="32"/>
      <c r="G66" s="8"/>
      <c r="H66" s="8"/>
      <c r="I66" s="8"/>
      <c r="J66" s="8"/>
      <c r="K66" s="8"/>
      <c r="L66" s="8"/>
      <c r="M66" s="8"/>
      <c r="N66" s="8"/>
      <c r="O66" s="8"/>
      <c r="P66" s="8"/>
      <c r="Q66" s="8"/>
      <c r="R66" s="8"/>
      <c r="S66" s="8"/>
      <c r="T66" s="8"/>
      <c r="U66" s="8"/>
      <c r="V66" s="8"/>
      <c r="W66" s="8"/>
      <c r="X66" s="8"/>
      <c r="Y66" s="8"/>
      <c r="Z66" s="8"/>
    </row>
    <row r="67" spans="1:26" ht="12.75" customHeight="1" x14ac:dyDescent="0.25">
      <c r="A67" s="8"/>
      <c r="B67" s="31"/>
      <c r="C67" s="32"/>
      <c r="D67" s="32"/>
      <c r="E67" s="32"/>
      <c r="F67" s="32"/>
      <c r="G67" s="8"/>
      <c r="H67" s="8"/>
      <c r="I67" s="8"/>
      <c r="J67" s="8"/>
      <c r="K67" s="8"/>
      <c r="L67" s="8"/>
      <c r="M67" s="8"/>
      <c r="N67" s="8"/>
      <c r="O67" s="8"/>
      <c r="P67" s="8"/>
      <c r="Q67" s="8"/>
      <c r="R67" s="8"/>
      <c r="S67" s="8"/>
      <c r="T67" s="8"/>
      <c r="U67" s="8"/>
      <c r="V67" s="8"/>
      <c r="W67" s="8"/>
      <c r="X67" s="8"/>
      <c r="Y67" s="8"/>
      <c r="Z67" s="8"/>
    </row>
    <row r="68" spans="1:26" ht="12.75" customHeight="1" x14ac:dyDescent="0.25">
      <c r="A68" s="8"/>
      <c r="B68" s="31"/>
      <c r="C68" s="32"/>
      <c r="D68" s="32"/>
      <c r="E68" s="32"/>
      <c r="F68" s="32"/>
      <c r="G68" s="8"/>
      <c r="H68" s="8"/>
      <c r="I68" s="8"/>
      <c r="J68" s="8"/>
      <c r="K68" s="8"/>
      <c r="L68" s="8"/>
      <c r="M68" s="8"/>
      <c r="N68" s="8"/>
      <c r="O68" s="8"/>
      <c r="P68" s="8"/>
      <c r="Q68" s="8"/>
      <c r="R68" s="8"/>
      <c r="S68" s="8"/>
      <c r="T68" s="8"/>
      <c r="U68" s="8"/>
      <c r="V68" s="8"/>
      <c r="W68" s="8"/>
      <c r="X68" s="8"/>
      <c r="Y68" s="8"/>
      <c r="Z68" s="8"/>
    </row>
    <row r="69" spans="1:26" ht="12.75" customHeight="1" x14ac:dyDescent="0.25">
      <c r="A69" s="8"/>
      <c r="B69" s="31"/>
      <c r="C69" s="32"/>
      <c r="D69" s="32"/>
      <c r="E69" s="32"/>
      <c r="F69" s="32"/>
      <c r="G69" s="8"/>
      <c r="H69" s="8"/>
      <c r="I69" s="8"/>
      <c r="J69" s="8"/>
      <c r="K69" s="8"/>
      <c r="L69" s="8"/>
      <c r="M69" s="8"/>
      <c r="N69" s="8"/>
      <c r="O69" s="8"/>
      <c r="P69" s="8"/>
      <c r="Q69" s="8"/>
      <c r="R69" s="8"/>
      <c r="S69" s="8"/>
      <c r="T69" s="8"/>
      <c r="U69" s="8"/>
      <c r="V69" s="8"/>
      <c r="W69" s="8"/>
      <c r="X69" s="8"/>
      <c r="Y69" s="8"/>
      <c r="Z69" s="8"/>
    </row>
    <row r="70" spans="1:26" ht="12.75" customHeight="1" x14ac:dyDescent="0.25">
      <c r="A70" s="8"/>
      <c r="B70" s="31"/>
      <c r="C70" s="32"/>
      <c r="D70" s="32"/>
      <c r="E70" s="32"/>
      <c r="F70" s="32"/>
      <c r="G70" s="8"/>
      <c r="H70" s="8"/>
      <c r="I70" s="8"/>
      <c r="J70" s="8"/>
      <c r="K70" s="8"/>
      <c r="L70" s="8"/>
      <c r="M70" s="8"/>
      <c r="N70" s="8"/>
      <c r="O70" s="8"/>
      <c r="P70" s="8"/>
      <c r="Q70" s="8"/>
      <c r="R70" s="8"/>
      <c r="S70" s="8"/>
      <c r="T70" s="8"/>
      <c r="U70" s="8"/>
      <c r="V70" s="8"/>
      <c r="W70" s="8"/>
      <c r="X70" s="8"/>
      <c r="Y70" s="8"/>
      <c r="Z70" s="8"/>
    </row>
    <row r="71" spans="1:26" ht="12.75" customHeight="1" x14ac:dyDescent="0.25">
      <c r="A71" s="8"/>
      <c r="B71" s="31"/>
      <c r="C71" s="32"/>
      <c r="D71" s="32"/>
      <c r="E71" s="32"/>
      <c r="F71" s="32"/>
      <c r="G71" s="8"/>
      <c r="H71" s="8"/>
      <c r="I71" s="8"/>
      <c r="J71" s="8"/>
      <c r="K71" s="8"/>
      <c r="L71" s="8"/>
      <c r="M71" s="8"/>
      <c r="N71" s="8"/>
      <c r="O71" s="8"/>
      <c r="P71" s="8"/>
      <c r="Q71" s="8"/>
      <c r="R71" s="8"/>
      <c r="S71" s="8"/>
      <c r="T71" s="8"/>
      <c r="U71" s="8"/>
      <c r="V71" s="8"/>
      <c r="W71" s="8"/>
      <c r="X71" s="8"/>
      <c r="Y71" s="8"/>
      <c r="Z71" s="8"/>
    </row>
    <row r="72" spans="1:26" ht="12.75" customHeight="1" x14ac:dyDescent="0.25">
      <c r="A72" s="8"/>
      <c r="B72" s="31"/>
      <c r="C72" s="32"/>
      <c r="D72" s="32"/>
      <c r="E72" s="32"/>
      <c r="F72" s="32"/>
      <c r="G72" s="8"/>
      <c r="H72" s="8"/>
      <c r="I72" s="8"/>
      <c r="J72" s="8"/>
      <c r="K72" s="8"/>
      <c r="L72" s="8"/>
      <c r="M72" s="8"/>
      <c r="N72" s="8"/>
      <c r="O72" s="8"/>
      <c r="P72" s="8"/>
      <c r="Q72" s="8"/>
      <c r="R72" s="8"/>
      <c r="S72" s="8"/>
      <c r="T72" s="8"/>
      <c r="U72" s="8"/>
      <c r="V72" s="8"/>
      <c r="W72" s="8"/>
      <c r="X72" s="8"/>
      <c r="Y72" s="8"/>
      <c r="Z72" s="8"/>
    </row>
    <row r="73" spans="1:26" ht="12.75" customHeight="1" x14ac:dyDescent="0.25">
      <c r="A73" s="8"/>
      <c r="B73" s="31"/>
      <c r="C73" s="32"/>
      <c r="D73" s="32"/>
      <c r="E73" s="32"/>
      <c r="F73" s="32"/>
      <c r="G73" s="8"/>
      <c r="H73" s="8"/>
      <c r="I73" s="8"/>
      <c r="J73" s="8"/>
      <c r="K73" s="8"/>
      <c r="L73" s="8"/>
      <c r="M73" s="8"/>
      <c r="N73" s="8"/>
      <c r="O73" s="8"/>
      <c r="P73" s="8"/>
      <c r="Q73" s="8"/>
      <c r="R73" s="8"/>
      <c r="S73" s="8"/>
      <c r="T73" s="8"/>
      <c r="U73" s="8"/>
      <c r="V73" s="8"/>
      <c r="W73" s="8"/>
      <c r="X73" s="8"/>
      <c r="Y73" s="8"/>
      <c r="Z73" s="8"/>
    </row>
    <row r="74" spans="1:26" ht="12.75" customHeight="1" x14ac:dyDescent="0.25">
      <c r="A74" s="8"/>
      <c r="B74" s="31"/>
      <c r="C74" s="32"/>
      <c r="D74" s="32"/>
      <c r="E74" s="32"/>
      <c r="F74" s="32"/>
      <c r="G74" s="8"/>
      <c r="H74" s="8"/>
      <c r="I74" s="8"/>
      <c r="J74" s="8"/>
      <c r="K74" s="8"/>
      <c r="L74" s="8"/>
      <c r="M74" s="8"/>
      <c r="N74" s="8"/>
      <c r="O74" s="8"/>
      <c r="P74" s="8"/>
      <c r="Q74" s="8"/>
      <c r="R74" s="8"/>
      <c r="S74" s="8"/>
      <c r="T74" s="8"/>
      <c r="U74" s="8"/>
      <c r="V74" s="8"/>
      <c r="W74" s="8"/>
      <c r="X74" s="8"/>
      <c r="Y74" s="8"/>
      <c r="Z74" s="8"/>
    </row>
    <row r="75" spans="1:26" ht="12.75" customHeight="1" x14ac:dyDescent="0.25">
      <c r="A75" s="8"/>
      <c r="B75" s="31"/>
      <c r="C75" s="32"/>
      <c r="D75" s="32"/>
      <c r="E75" s="32"/>
      <c r="F75" s="32"/>
      <c r="G75" s="8"/>
      <c r="H75" s="8"/>
      <c r="I75" s="8"/>
      <c r="J75" s="8"/>
      <c r="K75" s="8"/>
      <c r="L75" s="8"/>
      <c r="M75" s="8"/>
      <c r="N75" s="8"/>
      <c r="O75" s="8"/>
      <c r="P75" s="8"/>
      <c r="Q75" s="8"/>
      <c r="R75" s="8"/>
      <c r="S75" s="8"/>
      <c r="T75" s="8"/>
      <c r="U75" s="8"/>
      <c r="V75" s="8"/>
      <c r="W75" s="8"/>
      <c r="X75" s="8"/>
      <c r="Y75" s="8"/>
      <c r="Z75" s="8"/>
    </row>
    <row r="76" spans="1:26" ht="12.75" customHeight="1" x14ac:dyDescent="0.25">
      <c r="A76" s="8"/>
      <c r="B76" s="31"/>
      <c r="C76" s="32"/>
      <c r="D76" s="32"/>
      <c r="E76" s="32"/>
      <c r="F76" s="32"/>
      <c r="G76" s="8"/>
      <c r="H76" s="8"/>
      <c r="I76" s="8"/>
      <c r="J76" s="8"/>
      <c r="K76" s="8"/>
      <c r="L76" s="8"/>
      <c r="M76" s="8"/>
      <c r="N76" s="8"/>
      <c r="O76" s="8"/>
      <c r="P76" s="8"/>
      <c r="Q76" s="8"/>
      <c r="R76" s="8"/>
      <c r="S76" s="8"/>
      <c r="T76" s="8"/>
      <c r="U76" s="8"/>
      <c r="V76" s="8"/>
      <c r="W76" s="8"/>
      <c r="X76" s="8"/>
      <c r="Y76" s="8"/>
      <c r="Z76" s="8"/>
    </row>
    <row r="77" spans="1:26" ht="12.75" customHeight="1" x14ac:dyDescent="0.25">
      <c r="A77" s="8"/>
      <c r="B77" s="31"/>
      <c r="C77" s="32"/>
      <c r="D77" s="32"/>
      <c r="E77" s="32"/>
      <c r="F77" s="32"/>
      <c r="G77" s="8"/>
      <c r="H77" s="8"/>
      <c r="I77" s="8"/>
      <c r="J77" s="8"/>
      <c r="K77" s="8"/>
      <c r="L77" s="8"/>
      <c r="M77" s="8"/>
      <c r="N77" s="8"/>
      <c r="O77" s="8"/>
      <c r="P77" s="8"/>
      <c r="Q77" s="8"/>
      <c r="R77" s="8"/>
      <c r="S77" s="8"/>
      <c r="T77" s="8"/>
      <c r="U77" s="8"/>
      <c r="V77" s="8"/>
      <c r="W77" s="8"/>
      <c r="X77" s="8"/>
      <c r="Y77" s="8"/>
      <c r="Z77" s="8"/>
    </row>
    <row r="78" spans="1:26" ht="12.75" customHeight="1" x14ac:dyDescent="0.25">
      <c r="A78" s="8"/>
      <c r="B78" s="31"/>
      <c r="C78" s="32"/>
      <c r="D78" s="32"/>
      <c r="E78" s="32"/>
      <c r="F78" s="32"/>
      <c r="G78" s="8"/>
      <c r="H78" s="8"/>
      <c r="I78" s="8"/>
      <c r="J78" s="8"/>
      <c r="K78" s="8"/>
      <c r="L78" s="8"/>
      <c r="M78" s="8"/>
      <c r="N78" s="8"/>
      <c r="O78" s="8"/>
      <c r="P78" s="8"/>
      <c r="Q78" s="8"/>
      <c r="R78" s="8"/>
      <c r="S78" s="8"/>
      <c r="T78" s="8"/>
      <c r="U78" s="8"/>
      <c r="V78" s="8"/>
      <c r="W78" s="8"/>
      <c r="X78" s="8"/>
      <c r="Y78" s="8"/>
      <c r="Z78" s="8"/>
    </row>
    <row r="79" spans="1:26" ht="12.75" customHeight="1" x14ac:dyDescent="0.25">
      <c r="A79" s="8"/>
      <c r="B79" s="31"/>
      <c r="C79" s="32"/>
      <c r="D79" s="32"/>
      <c r="E79" s="32"/>
      <c r="F79" s="32"/>
      <c r="G79" s="8"/>
      <c r="H79" s="8"/>
      <c r="I79" s="8"/>
      <c r="J79" s="8"/>
      <c r="K79" s="8"/>
      <c r="L79" s="8"/>
      <c r="M79" s="8"/>
      <c r="N79" s="8"/>
      <c r="O79" s="8"/>
      <c r="P79" s="8"/>
      <c r="Q79" s="8"/>
      <c r="R79" s="8"/>
      <c r="S79" s="8"/>
      <c r="T79" s="8"/>
      <c r="U79" s="8"/>
      <c r="V79" s="8"/>
      <c r="W79" s="8"/>
      <c r="X79" s="8"/>
      <c r="Y79" s="8"/>
      <c r="Z79" s="8"/>
    </row>
    <row r="80" spans="1:26" ht="12.75" customHeight="1" x14ac:dyDescent="0.25">
      <c r="A80" s="8"/>
      <c r="B80" s="31"/>
      <c r="C80" s="32"/>
      <c r="D80" s="32"/>
      <c r="E80" s="32"/>
      <c r="F80" s="32"/>
      <c r="G80" s="8"/>
      <c r="H80" s="8"/>
      <c r="I80" s="8"/>
      <c r="J80" s="8"/>
      <c r="K80" s="8"/>
      <c r="L80" s="8"/>
      <c r="M80" s="8"/>
      <c r="N80" s="8"/>
      <c r="O80" s="8"/>
      <c r="P80" s="8"/>
      <c r="Q80" s="8"/>
      <c r="R80" s="8"/>
      <c r="S80" s="8"/>
      <c r="T80" s="8"/>
      <c r="U80" s="8"/>
      <c r="V80" s="8"/>
      <c r="W80" s="8"/>
      <c r="X80" s="8"/>
      <c r="Y80" s="8"/>
      <c r="Z80" s="8"/>
    </row>
    <row r="81" spans="1:26" ht="12.75" customHeight="1" x14ac:dyDescent="0.25">
      <c r="A81" s="8"/>
      <c r="B81" s="31"/>
      <c r="C81" s="32"/>
      <c r="D81" s="32"/>
      <c r="E81" s="32"/>
      <c r="F81" s="32"/>
      <c r="G81" s="8"/>
      <c r="H81" s="8"/>
      <c r="I81" s="8"/>
      <c r="J81" s="8"/>
      <c r="K81" s="8"/>
      <c r="L81" s="8"/>
      <c r="M81" s="8"/>
      <c r="N81" s="8"/>
      <c r="O81" s="8"/>
      <c r="P81" s="8"/>
      <c r="Q81" s="8"/>
      <c r="R81" s="8"/>
      <c r="S81" s="8"/>
      <c r="T81" s="8"/>
      <c r="U81" s="8"/>
      <c r="V81" s="8"/>
      <c r="W81" s="8"/>
      <c r="X81" s="8"/>
      <c r="Y81" s="8"/>
      <c r="Z81" s="8"/>
    </row>
    <row r="82" spans="1:26" ht="12.75" customHeight="1" x14ac:dyDescent="0.25">
      <c r="A82" s="8"/>
      <c r="B82" s="31"/>
      <c r="C82" s="32"/>
      <c r="D82" s="32"/>
      <c r="E82" s="32"/>
      <c r="F82" s="32"/>
      <c r="G82" s="8"/>
      <c r="H82" s="8"/>
      <c r="I82" s="8"/>
      <c r="J82" s="8"/>
      <c r="K82" s="8"/>
      <c r="L82" s="8"/>
      <c r="M82" s="8"/>
      <c r="N82" s="8"/>
      <c r="O82" s="8"/>
      <c r="P82" s="8"/>
      <c r="Q82" s="8"/>
      <c r="R82" s="8"/>
      <c r="S82" s="8"/>
      <c r="T82" s="8"/>
      <c r="U82" s="8"/>
      <c r="V82" s="8"/>
      <c r="W82" s="8"/>
      <c r="X82" s="8"/>
      <c r="Y82" s="8"/>
      <c r="Z82" s="8"/>
    </row>
    <row r="83" spans="1:26" ht="12.75" customHeight="1" x14ac:dyDescent="0.25">
      <c r="A83" s="8"/>
      <c r="B83" s="31"/>
      <c r="C83" s="32"/>
      <c r="D83" s="32"/>
      <c r="E83" s="32"/>
      <c r="F83" s="32"/>
      <c r="G83" s="8"/>
      <c r="H83" s="8"/>
      <c r="I83" s="8"/>
      <c r="J83" s="8"/>
      <c r="K83" s="8"/>
      <c r="L83" s="8"/>
      <c r="M83" s="8"/>
      <c r="N83" s="8"/>
      <c r="O83" s="8"/>
      <c r="P83" s="8"/>
      <c r="Q83" s="8"/>
      <c r="R83" s="8"/>
      <c r="S83" s="8"/>
      <c r="T83" s="8"/>
      <c r="U83" s="8"/>
      <c r="V83" s="8"/>
      <c r="W83" s="8"/>
      <c r="X83" s="8"/>
      <c r="Y83" s="8"/>
      <c r="Z83" s="8"/>
    </row>
    <row r="84" spans="1:26" ht="12.75" customHeight="1" x14ac:dyDescent="0.25">
      <c r="A84" s="8"/>
      <c r="B84" s="31"/>
      <c r="C84" s="32"/>
      <c r="D84" s="32"/>
      <c r="E84" s="32"/>
      <c r="F84" s="32"/>
      <c r="G84" s="8"/>
      <c r="H84" s="8"/>
      <c r="I84" s="8"/>
      <c r="J84" s="8"/>
      <c r="K84" s="8"/>
      <c r="L84" s="8"/>
      <c r="M84" s="8"/>
      <c r="N84" s="8"/>
      <c r="O84" s="8"/>
      <c r="P84" s="8"/>
      <c r="Q84" s="8"/>
      <c r="R84" s="8"/>
      <c r="S84" s="8"/>
      <c r="T84" s="8"/>
      <c r="U84" s="8"/>
      <c r="V84" s="8"/>
      <c r="W84" s="8"/>
      <c r="X84" s="8"/>
      <c r="Y84" s="8"/>
      <c r="Z84" s="8"/>
    </row>
    <row r="85" spans="1:26" ht="12.75" customHeight="1" x14ac:dyDescent="0.25">
      <c r="A85" s="8"/>
      <c r="B85" s="31"/>
      <c r="C85" s="32"/>
      <c r="D85" s="32"/>
      <c r="E85" s="32"/>
      <c r="F85" s="32"/>
      <c r="G85" s="8"/>
      <c r="H85" s="8"/>
      <c r="I85" s="8"/>
      <c r="J85" s="8"/>
      <c r="K85" s="8"/>
      <c r="L85" s="8"/>
      <c r="M85" s="8"/>
      <c r="N85" s="8"/>
      <c r="O85" s="8"/>
      <c r="P85" s="8"/>
      <c r="Q85" s="8"/>
      <c r="R85" s="8"/>
      <c r="S85" s="8"/>
      <c r="T85" s="8"/>
      <c r="U85" s="8"/>
      <c r="V85" s="8"/>
      <c r="W85" s="8"/>
      <c r="X85" s="8"/>
      <c r="Y85" s="8"/>
      <c r="Z85" s="8"/>
    </row>
    <row r="86" spans="1:26" ht="12.75" customHeight="1" x14ac:dyDescent="0.25">
      <c r="A86" s="8"/>
      <c r="B86" s="31"/>
      <c r="C86" s="32"/>
      <c r="D86" s="32"/>
      <c r="E86" s="32"/>
      <c r="F86" s="32"/>
      <c r="G86" s="8"/>
      <c r="H86" s="8"/>
      <c r="I86" s="8"/>
      <c r="J86" s="8"/>
      <c r="K86" s="8"/>
      <c r="L86" s="8"/>
      <c r="M86" s="8"/>
      <c r="N86" s="8"/>
      <c r="O86" s="8"/>
      <c r="P86" s="8"/>
      <c r="Q86" s="8"/>
      <c r="R86" s="8"/>
      <c r="S86" s="8"/>
      <c r="T86" s="8"/>
      <c r="U86" s="8"/>
      <c r="V86" s="8"/>
      <c r="W86" s="8"/>
      <c r="X86" s="8"/>
      <c r="Y86" s="8"/>
      <c r="Z86" s="8"/>
    </row>
    <row r="87" spans="1:26" ht="12.75" customHeight="1" x14ac:dyDescent="0.25">
      <c r="A87" s="8"/>
      <c r="B87" s="31"/>
      <c r="C87" s="32"/>
      <c r="D87" s="32"/>
      <c r="E87" s="32"/>
      <c r="F87" s="32"/>
      <c r="G87" s="8"/>
      <c r="H87" s="8"/>
      <c r="I87" s="8"/>
      <c r="J87" s="8"/>
      <c r="K87" s="8"/>
      <c r="L87" s="8"/>
      <c r="M87" s="8"/>
      <c r="N87" s="8"/>
      <c r="O87" s="8"/>
      <c r="P87" s="8"/>
      <c r="Q87" s="8"/>
      <c r="R87" s="8"/>
      <c r="S87" s="8"/>
      <c r="T87" s="8"/>
      <c r="U87" s="8"/>
      <c r="V87" s="8"/>
      <c r="W87" s="8"/>
      <c r="X87" s="8"/>
      <c r="Y87" s="8"/>
      <c r="Z87" s="8"/>
    </row>
    <row r="88" spans="1:26" ht="12.75" customHeight="1" x14ac:dyDescent="0.25">
      <c r="A88" s="8"/>
      <c r="B88" s="31"/>
      <c r="C88" s="32"/>
      <c r="D88" s="32"/>
      <c r="E88" s="32"/>
      <c r="F88" s="32"/>
      <c r="G88" s="8"/>
      <c r="H88" s="8"/>
      <c r="I88" s="8"/>
      <c r="J88" s="8"/>
      <c r="K88" s="8"/>
      <c r="L88" s="8"/>
      <c r="M88" s="8"/>
      <c r="N88" s="8"/>
      <c r="O88" s="8"/>
      <c r="P88" s="8"/>
      <c r="Q88" s="8"/>
      <c r="R88" s="8"/>
      <c r="S88" s="8"/>
      <c r="T88" s="8"/>
      <c r="U88" s="8"/>
      <c r="V88" s="8"/>
      <c r="W88" s="8"/>
      <c r="X88" s="8"/>
      <c r="Y88" s="8"/>
      <c r="Z88" s="8"/>
    </row>
    <row r="89" spans="1:26" ht="12.75" customHeight="1" x14ac:dyDescent="0.25">
      <c r="A89" s="8"/>
      <c r="B89" s="31"/>
      <c r="C89" s="32"/>
      <c r="D89" s="32"/>
      <c r="E89" s="32"/>
      <c r="F89" s="32"/>
      <c r="G89" s="8"/>
      <c r="H89" s="8"/>
      <c r="I89" s="8"/>
      <c r="J89" s="8"/>
      <c r="K89" s="8"/>
      <c r="L89" s="8"/>
      <c r="M89" s="8"/>
      <c r="N89" s="8"/>
      <c r="O89" s="8"/>
      <c r="P89" s="8"/>
      <c r="Q89" s="8"/>
      <c r="R89" s="8"/>
      <c r="S89" s="8"/>
      <c r="T89" s="8"/>
      <c r="U89" s="8"/>
      <c r="V89" s="8"/>
      <c r="W89" s="8"/>
      <c r="X89" s="8"/>
      <c r="Y89" s="8"/>
      <c r="Z89" s="8"/>
    </row>
    <row r="90" spans="1:26" ht="12.75" customHeight="1" x14ac:dyDescent="0.25">
      <c r="A90" s="8"/>
      <c r="B90" s="31"/>
      <c r="C90" s="32"/>
      <c r="D90" s="32"/>
      <c r="E90" s="32"/>
      <c r="F90" s="32"/>
      <c r="G90" s="8"/>
      <c r="H90" s="8"/>
      <c r="I90" s="8"/>
      <c r="J90" s="8"/>
      <c r="K90" s="8"/>
      <c r="L90" s="8"/>
      <c r="M90" s="8"/>
      <c r="N90" s="8"/>
      <c r="O90" s="8"/>
      <c r="P90" s="8"/>
      <c r="Q90" s="8"/>
      <c r="R90" s="8"/>
      <c r="S90" s="8"/>
      <c r="T90" s="8"/>
      <c r="U90" s="8"/>
      <c r="V90" s="8"/>
      <c r="W90" s="8"/>
      <c r="X90" s="8"/>
      <c r="Y90" s="8"/>
      <c r="Z90" s="8"/>
    </row>
    <row r="91" spans="1:26" ht="12.75" customHeight="1" x14ac:dyDescent="0.25">
      <c r="A91" s="8"/>
      <c r="B91" s="31"/>
      <c r="C91" s="32"/>
      <c r="D91" s="32"/>
      <c r="E91" s="32"/>
      <c r="F91" s="32"/>
      <c r="G91" s="8"/>
      <c r="H91" s="8"/>
      <c r="I91" s="8"/>
      <c r="J91" s="8"/>
      <c r="K91" s="8"/>
      <c r="L91" s="8"/>
      <c r="M91" s="8"/>
      <c r="N91" s="8"/>
      <c r="O91" s="8"/>
      <c r="P91" s="8"/>
      <c r="Q91" s="8"/>
      <c r="R91" s="8"/>
      <c r="S91" s="8"/>
      <c r="T91" s="8"/>
      <c r="U91" s="8"/>
      <c r="V91" s="8"/>
      <c r="W91" s="8"/>
      <c r="X91" s="8"/>
      <c r="Y91" s="8"/>
      <c r="Z91" s="8"/>
    </row>
    <row r="92" spans="1:26" ht="12.75" customHeight="1" x14ac:dyDescent="0.25">
      <c r="A92" s="8"/>
      <c r="B92" s="31"/>
      <c r="C92" s="32"/>
      <c r="D92" s="32"/>
      <c r="E92" s="32"/>
      <c r="F92" s="32"/>
      <c r="G92" s="8"/>
      <c r="H92" s="8"/>
      <c r="I92" s="8"/>
      <c r="J92" s="8"/>
      <c r="K92" s="8"/>
      <c r="L92" s="8"/>
      <c r="M92" s="8"/>
      <c r="N92" s="8"/>
      <c r="O92" s="8"/>
      <c r="P92" s="8"/>
      <c r="Q92" s="8"/>
      <c r="R92" s="8"/>
      <c r="S92" s="8"/>
      <c r="T92" s="8"/>
      <c r="U92" s="8"/>
      <c r="V92" s="8"/>
      <c r="W92" s="8"/>
      <c r="X92" s="8"/>
      <c r="Y92" s="8"/>
      <c r="Z92" s="8"/>
    </row>
    <row r="93" spans="1:26" ht="12.75" customHeight="1" x14ac:dyDescent="0.25">
      <c r="A93" s="8"/>
      <c r="B93" s="31"/>
      <c r="C93" s="32"/>
      <c r="D93" s="32"/>
      <c r="E93" s="32"/>
      <c r="F93" s="32"/>
      <c r="G93" s="8"/>
      <c r="H93" s="8"/>
      <c r="I93" s="8"/>
      <c r="J93" s="8"/>
      <c r="K93" s="8"/>
      <c r="L93" s="8"/>
      <c r="M93" s="8"/>
      <c r="N93" s="8"/>
      <c r="O93" s="8"/>
      <c r="P93" s="8"/>
      <c r="Q93" s="8"/>
      <c r="R93" s="8"/>
      <c r="S93" s="8"/>
      <c r="T93" s="8"/>
      <c r="U93" s="8"/>
      <c r="V93" s="8"/>
      <c r="W93" s="8"/>
      <c r="X93" s="8"/>
      <c r="Y93" s="8"/>
      <c r="Z93" s="8"/>
    </row>
    <row r="94" spans="1:26" ht="12.75" customHeight="1" x14ac:dyDescent="0.25">
      <c r="A94" s="8"/>
      <c r="B94" s="31"/>
      <c r="C94" s="32"/>
      <c r="D94" s="32"/>
      <c r="E94" s="32"/>
      <c r="F94" s="32"/>
      <c r="G94" s="8"/>
      <c r="H94" s="8"/>
      <c r="I94" s="8"/>
      <c r="J94" s="8"/>
      <c r="K94" s="8"/>
      <c r="L94" s="8"/>
      <c r="M94" s="8"/>
      <c r="N94" s="8"/>
      <c r="O94" s="8"/>
      <c r="P94" s="8"/>
      <c r="Q94" s="8"/>
      <c r="R94" s="8"/>
      <c r="S94" s="8"/>
      <c r="T94" s="8"/>
      <c r="U94" s="8"/>
      <c r="V94" s="8"/>
      <c r="W94" s="8"/>
      <c r="X94" s="8"/>
      <c r="Y94" s="8"/>
      <c r="Z94" s="8"/>
    </row>
    <row r="95" spans="1:26" ht="12.75" customHeight="1" x14ac:dyDescent="0.25">
      <c r="A95" s="8"/>
      <c r="B95" s="31"/>
      <c r="C95" s="32"/>
      <c r="D95" s="32"/>
      <c r="E95" s="32"/>
      <c r="F95" s="32"/>
      <c r="G95" s="8"/>
      <c r="H95" s="8"/>
      <c r="I95" s="8"/>
      <c r="J95" s="8"/>
      <c r="K95" s="8"/>
      <c r="L95" s="8"/>
      <c r="M95" s="8"/>
      <c r="N95" s="8"/>
      <c r="O95" s="8"/>
      <c r="P95" s="8"/>
      <c r="Q95" s="8"/>
      <c r="R95" s="8"/>
      <c r="S95" s="8"/>
      <c r="T95" s="8"/>
      <c r="U95" s="8"/>
      <c r="V95" s="8"/>
      <c r="W95" s="8"/>
      <c r="X95" s="8"/>
      <c r="Y95" s="8"/>
      <c r="Z95" s="8"/>
    </row>
    <row r="96" spans="1:26" ht="12.75" customHeight="1" x14ac:dyDescent="0.25">
      <c r="A96" s="8"/>
      <c r="B96" s="31"/>
      <c r="C96" s="32"/>
      <c r="D96" s="32"/>
      <c r="E96" s="32"/>
      <c r="F96" s="32"/>
      <c r="G96" s="8"/>
      <c r="H96" s="8"/>
      <c r="I96" s="8"/>
      <c r="J96" s="8"/>
      <c r="K96" s="8"/>
      <c r="L96" s="8"/>
      <c r="M96" s="8"/>
      <c r="N96" s="8"/>
      <c r="O96" s="8"/>
      <c r="P96" s="8"/>
      <c r="Q96" s="8"/>
      <c r="R96" s="8"/>
      <c r="S96" s="8"/>
      <c r="T96" s="8"/>
      <c r="U96" s="8"/>
      <c r="V96" s="8"/>
      <c r="W96" s="8"/>
      <c r="X96" s="8"/>
      <c r="Y96" s="8"/>
      <c r="Z96" s="8"/>
    </row>
    <row r="97" spans="1:26" ht="12.75" customHeight="1" x14ac:dyDescent="0.25">
      <c r="A97" s="8"/>
      <c r="B97" s="31"/>
      <c r="C97" s="32"/>
      <c r="D97" s="32"/>
      <c r="E97" s="32"/>
      <c r="F97" s="32"/>
      <c r="G97" s="8"/>
      <c r="H97" s="8"/>
      <c r="I97" s="8"/>
      <c r="J97" s="8"/>
      <c r="K97" s="8"/>
      <c r="L97" s="8"/>
      <c r="M97" s="8"/>
      <c r="N97" s="8"/>
      <c r="O97" s="8"/>
      <c r="P97" s="8"/>
      <c r="Q97" s="8"/>
      <c r="R97" s="8"/>
      <c r="S97" s="8"/>
      <c r="T97" s="8"/>
      <c r="U97" s="8"/>
      <c r="V97" s="8"/>
      <c r="W97" s="8"/>
      <c r="X97" s="8"/>
      <c r="Y97" s="8"/>
      <c r="Z97" s="8"/>
    </row>
    <row r="98" spans="1:26" ht="12.75" customHeight="1" x14ac:dyDescent="0.25">
      <c r="A98" s="8"/>
      <c r="B98" s="31"/>
      <c r="C98" s="32"/>
      <c r="D98" s="32"/>
      <c r="E98" s="32"/>
      <c r="F98" s="32"/>
      <c r="G98" s="8"/>
      <c r="H98" s="8"/>
      <c r="I98" s="8"/>
      <c r="J98" s="8"/>
      <c r="K98" s="8"/>
      <c r="L98" s="8"/>
      <c r="M98" s="8"/>
      <c r="N98" s="8"/>
      <c r="O98" s="8"/>
      <c r="P98" s="8"/>
      <c r="Q98" s="8"/>
      <c r="R98" s="8"/>
      <c r="S98" s="8"/>
      <c r="T98" s="8"/>
      <c r="U98" s="8"/>
      <c r="V98" s="8"/>
      <c r="W98" s="8"/>
      <c r="X98" s="8"/>
      <c r="Y98" s="8"/>
      <c r="Z98" s="8"/>
    </row>
    <row r="99" spans="1:26" ht="12.75" customHeight="1" x14ac:dyDescent="0.25">
      <c r="A99" s="8"/>
      <c r="B99" s="31"/>
      <c r="C99" s="32"/>
      <c r="D99" s="32"/>
      <c r="E99" s="32"/>
      <c r="F99" s="32"/>
      <c r="G99" s="8"/>
      <c r="H99" s="8"/>
      <c r="I99" s="8"/>
      <c r="J99" s="8"/>
      <c r="K99" s="8"/>
      <c r="L99" s="8"/>
      <c r="M99" s="8"/>
      <c r="N99" s="8"/>
      <c r="O99" s="8"/>
      <c r="P99" s="8"/>
      <c r="Q99" s="8"/>
      <c r="R99" s="8"/>
      <c r="S99" s="8"/>
      <c r="T99" s="8"/>
      <c r="U99" s="8"/>
      <c r="V99" s="8"/>
      <c r="W99" s="8"/>
      <c r="X99" s="8"/>
      <c r="Y99" s="8"/>
      <c r="Z99" s="8"/>
    </row>
    <row r="100" spans="1:26" ht="12.75" customHeight="1" x14ac:dyDescent="0.25">
      <c r="A100" s="8"/>
      <c r="B100" s="31"/>
      <c r="C100" s="32"/>
      <c r="D100" s="32"/>
      <c r="E100" s="32"/>
      <c r="F100" s="32"/>
      <c r="G100" s="8"/>
      <c r="H100" s="8"/>
      <c r="I100" s="8"/>
      <c r="J100" s="8"/>
      <c r="K100" s="8"/>
      <c r="L100" s="8"/>
      <c r="M100" s="8"/>
      <c r="N100" s="8"/>
      <c r="O100" s="8"/>
      <c r="P100" s="8"/>
      <c r="Q100" s="8"/>
      <c r="R100" s="8"/>
      <c r="S100" s="8"/>
      <c r="T100" s="8"/>
      <c r="U100" s="8"/>
      <c r="V100" s="8"/>
      <c r="W100" s="8"/>
      <c r="X100" s="8"/>
      <c r="Y100" s="8"/>
      <c r="Z100" s="8"/>
    </row>
    <row r="101" spans="1:26" ht="12.75" customHeight="1" x14ac:dyDescent="0.25">
      <c r="A101" s="8"/>
      <c r="B101" s="31"/>
      <c r="C101" s="32"/>
      <c r="D101" s="32"/>
      <c r="E101" s="32"/>
      <c r="F101" s="32"/>
      <c r="G101" s="8"/>
      <c r="H101" s="8"/>
      <c r="I101" s="8"/>
      <c r="J101" s="8"/>
      <c r="K101" s="8"/>
      <c r="L101" s="8"/>
      <c r="M101" s="8"/>
      <c r="N101" s="8"/>
      <c r="O101" s="8"/>
      <c r="P101" s="8"/>
      <c r="Q101" s="8"/>
      <c r="R101" s="8"/>
      <c r="S101" s="8"/>
      <c r="T101" s="8"/>
      <c r="U101" s="8"/>
      <c r="V101" s="8"/>
      <c r="W101" s="8"/>
      <c r="X101" s="8"/>
      <c r="Y101" s="8"/>
      <c r="Z101" s="8"/>
    </row>
    <row r="102" spans="1:26" ht="12.75" customHeight="1" x14ac:dyDescent="0.25">
      <c r="A102" s="8"/>
      <c r="B102" s="31"/>
      <c r="C102" s="32"/>
      <c r="D102" s="32"/>
      <c r="E102" s="32"/>
      <c r="F102" s="32"/>
      <c r="G102" s="8"/>
      <c r="H102" s="8"/>
      <c r="I102" s="8"/>
      <c r="J102" s="8"/>
      <c r="K102" s="8"/>
      <c r="L102" s="8"/>
      <c r="M102" s="8"/>
      <c r="N102" s="8"/>
      <c r="O102" s="8"/>
      <c r="P102" s="8"/>
      <c r="Q102" s="8"/>
      <c r="R102" s="8"/>
      <c r="S102" s="8"/>
      <c r="T102" s="8"/>
      <c r="U102" s="8"/>
      <c r="V102" s="8"/>
      <c r="W102" s="8"/>
      <c r="X102" s="8"/>
      <c r="Y102" s="8"/>
      <c r="Z102" s="8"/>
    </row>
    <row r="103" spans="1:26" ht="12.75" customHeight="1" x14ac:dyDescent="0.25">
      <c r="A103" s="8"/>
      <c r="B103" s="31"/>
      <c r="C103" s="32"/>
      <c r="D103" s="32"/>
      <c r="E103" s="32"/>
      <c r="F103" s="32"/>
      <c r="G103" s="8"/>
      <c r="H103" s="8"/>
      <c r="I103" s="8"/>
      <c r="J103" s="8"/>
      <c r="K103" s="8"/>
      <c r="L103" s="8"/>
      <c r="M103" s="8"/>
      <c r="N103" s="8"/>
      <c r="O103" s="8"/>
      <c r="P103" s="8"/>
      <c r="Q103" s="8"/>
      <c r="R103" s="8"/>
      <c r="S103" s="8"/>
      <c r="T103" s="8"/>
      <c r="U103" s="8"/>
      <c r="V103" s="8"/>
      <c r="W103" s="8"/>
      <c r="X103" s="8"/>
      <c r="Y103" s="8"/>
      <c r="Z103" s="8"/>
    </row>
    <row r="104" spans="1:26" ht="12.75" customHeight="1" x14ac:dyDescent="0.25">
      <c r="A104" s="8"/>
      <c r="B104" s="31"/>
      <c r="C104" s="32"/>
      <c r="D104" s="32"/>
      <c r="E104" s="32"/>
      <c r="F104" s="32"/>
      <c r="G104" s="8"/>
      <c r="H104" s="8"/>
      <c r="I104" s="8"/>
      <c r="J104" s="8"/>
      <c r="K104" s="8"/>
      <c r="L104" s="8"/>
      <c r="M104" s="8"/>
      <c r="N104" s="8"/>
      <c r="O104" s="8"/>
      <c r="P104" s="8"/>
      <c r="Q104" s="8"/>
      <c r="R104" s="8"/>
      <c r="S104" s="8"/>
      <c r="T104" s="8"/>
      <c r="U104" s="8"/>
      <c r="V104" s="8"/>
      <c r="W104" s="8"/>
      <c r="X104" s="8"/>
      <c r="Y104" s="8"/>
      <c r="Z104" s="8"/>
    </row>
    <row r="105" spans="1:26" ht="12.75" customHeight="1" x14ac:dyDescent="0.25">
      <c r="A105" s="8"/>
      <c r="B105" s="31"/>
      <c r="C105" s="32"/>
      <c r="D105" s="32"/>
      <c r="E105" s="32"/>
      <c r="F105" s="32"/>
      <c r="G105" s="8"/>
      <c r="H105" s="8"/>
      <c r="I105" s="8"/>
      <c r="J105" s="8"/>
      <c r="K105" s="8"/>
      <c r="L105" s="8"/>
      <c r="M105" s="8"/>
      <c r="N105" s="8"/>
      <c r="O105" s="8"/>
      <c r="P105" s="8"/>
      <c r="Q105" s="8"/>
      <c r="R105" s="8"/>
      <c r="S105" s="8"/>
      <c r="T105" s="8"/>
      <c r="U105" s="8"/>
      <c r="V105" s="8"/>
      <c r="W105" s="8"/>
      <c r="X105" s="8"/>
      <c r="Y105" s="8"/>
      <c r="Z105" s="8"/>
    </row>
    <row r="106" spans="1:26" ht="12.75" customHeight="1" x14ac:dyDescent="0.25">
      <c r="A106" s="8"/>
      <c r="B106" s="31"/>
      <c r="C106" s="32"/>
      <c r="D106" s="32"/>
      <c r="E106" s="32"/>
      <c r="F106" s="32"/>
      <c r="G106" s="8"/>
      <c r="H106" s="8"/>
      <c r="I106" s="8"/>
      <c r="J106" s="8"/>
      <c r="K106" s="8"/>
      <c r="L106" s="8"/>
      <c r="M106" s="8"/>
      <c r="N106" s="8"/>
      <c r="O106" s="8"/>
      <c r="P106" s="8"/>
      <c r="Q106" s="8"/>
      <c r="R106" s="8"/>
      <c r="S106" s="8"/>
      <c r="T106" s="8"/>
      <c r="U106" s="8"/>
      <c r="V106" s="8"/>
      <c r="W106" s="8"/>
      <c r="X106" s="8"/>
      <c r="Y106" s="8"/>
      <c r="Z106" s="8"/>
    </row>
    <row r="107" spans="1:26" ht="12.75" customHeight="1" x14ac:dyDescent="0.25">
      <c r="A107" s="8"/>
      <c r="B107" s="31"/>
      <c r="C107" s="32"/>
      <c r="D107" s="32"/>
      <c r="E107" s="32"/>
      <c r="F107" s="32"/>
      <c r="G107" s="8"/>
      <c r="H107" s="8"/>
      <c r="I107" s="8"/>
      <c r="J107" s="8"/>
      <c r="K107" s="8"/>
      <c r="L107" s="8"/>
      <c r="M107" s="8"/>
      <c r="N107" s="8"/>
      <c r="O107" s="8"/>
      <c r="P107" s="8"/>
      <c r="Q107" s="8"/>
      <c r="R107" s="8"/>
      <c r="S107" s="8"/>
      <c r="T107" s="8"/>
      <c r="U107" s="8"/>
      <c r="V107" s="8"/>
      <c r="W107" s="8"/>
      <c r="X107" s="8"/>
      <c r="Y107" s="8"/>
      <c r="Z107" s="8"/>
    </row>
    <row r="108" spans="1:26" ht="12.75" customHeight="1" x14ac:dyDescent="0.25">
      <c r="A108" s="8"/>
      <c r="B108" s="31"/>
      <c r="C108" s="32"/>
      <c r="D108" s="32"/>
      <c r="E108" s="32"/>
      <c r="F108" s="32"/>
      <c r="G108" s="8"/>
      <c r="H108" s="8"/>
      <c r="I108" s="8"/>
      <c r="J108" s="8"/>
      <c r="K108" s="8"/>
      <c r="L108" s="8"/>
      <c r="M108" s="8"/>
      <c r="N108" s="8"/>
      <c r="O108" s="8"/>
      <c r="P108" s="8"/>
      <c r="Q108" s="8"/>
      <c r="R108" s="8"/>
      <c r="S108" s="8"/>
      <c r="T108" s="8"/>
      <c r="U108" s="8"/>
      <c r="V108" s="8"/>
      <c r="W108" s="8"/>
      <c r="X108" s="8"/>
      <c r="Y108" s="8"/>
      <c r="Z108" s="8"/>
    </row>
    <row r="109" spans="1:26" ht="12.75" customHeight="1" x14ac:dyDescent="0.25">
      <c r="A109" s="8"/>
      <c r="B109" s="31"/>
      <c r="C109" s="32"/>
      <c r="D109" s="32"/>
      <c r="E109" s="32"/>
      <c r="F109" s="32"/>
      <c r="G109" s="8"/>
      <c r="H109" s="8"/>
      <c r="I109" s="8"/>
      <c r="J109" s="8"/>
      <c r="K109" s="8"/>
      <c r="L109" s="8"/>
      <c r="M109" s="8"/>
      <c r="N109" s="8"/>
      <c r="O109" s="8"/>
      <c r="P109" s="8"/>
      <c r="Q109" s="8"/>
      <c r="R109" s="8"/>
      <c r="S109" s="8"/>
      <c r="T109" s="8"/>
      <c r="U109" s="8"/>
      <c r="V109" s="8"/>
      <c r="W109" s="8"/>
      <c r="X109" s="8"/>
      <c r="Y109" s="8"/>
      <c r="Z109" s="8"/>
    </row>
    <row r="110" spans="1:26" ht="12.75" customHeight="1" x14ac:dyDescent="0.25">
      <c r="A110" s="8"/>
      <c r="B110" s="31"/>
      <c r="C110" s="32"/>
      <c r="D110" s="32"/>
      <c r="E110" s="32"/>
      <c r="F110" s="32"/>
      <c r="G110" s="8"/>
      <c r="H110" s="8"/>
      <c r="I110" s="8"/>
      <c r="J110" s="8"/>
      <c r="K110" s="8"/>
      <c r="L110" s="8"/>
      <c r="M110" s="8"/>
      <c r="N110" s="8"/>
      <c r="O110" s="8"/>
      <c r="P110" s="8"/>
      <c r="Q110" s="8"/>
      <c r="R110" s="8"/>
      <c r="S110" s="8"/>
      <c r="T110" s="8"/>
      <c r="U110" s="8"/>
      <c r="V110" s="8"/>
      <c r="W110" s="8"/>
      <c r="X110" s="8"/>
      <c r="Y110" s="8"/>
      <c r="Z110" s="8"/>
    </row>
    <row r="111" spans="1:26" ht="12.75" customHeight="1" x14ac:dyDescent="0.25">
      <c r="A111" s="8"/>
      <c r="B111" s="31"/>
      <c r="C111" s="32"/>
      <c r="D111" s="32"/>
      <c r="E111" s="32"/>
      <c r="F111" s="32"/>
      <c r="G111" s="8"/>
      <c r="H111" s="8"/>
      <c r="I111" s="8"/>
      <c r="J111" s="8"/>
      <c r="K111" s="8"/>
      <c r="L111" s="8"/>
      <c r="M111" s="8"/>
      <c r="N111" s="8"/>
      <c r="O111" s="8"/>
      <c r="P111" s="8"/>
      <c r="Q111" s="8"/>
      <c r="R111" s="8"/>
      <c r="S111" s="8"/>
      <c r="T111" s="8"/>
      <c r="U111" s="8"/>
      <c r="V111" s="8"/>
      <c r="W111" s="8"/>
      <c r="X111" s="8"/>
      <c r="Y111" s="8"/>
      <c r="Z111" s="8"/>
    </row>
    <row r="112" spans="1:26" ht="12.75" customHeight="1" x14ac:dyDescent="0.25">
      <c r="A112" s="8"/>
      <c r="B112" s="31"/>
      <c r="C112" s="32"/>
      <c r="D112" s="32"/>
      <c r="E112" s="32"/>
      <c r="F112" s="32"/>
      <c r="G112" s="8"/>
      <c r="H112" s="8"/>
      <c r="I112" s="8"/>
      <c r="J112" s="8"/>
      <c r="K112" s="8"/>
      <c r="L112" s="8"/>
      <c r="M112" s="8"/>
      <c r="N112" s="8"/>
      <c r="O112" s="8"/>
      <c r="P112" s="8"/>
      <c r="Q112" s="8"/>
      <c r="R112" s="8"/>
      <c r="S112" s="8"/>
      <c r="T112" s="8"/>
      <c r="U112" s="8"/>
      <c r="V112" s="8"/>
      <c r="W112" s="8"/>
      <c r="X112" s="8"/>
      <c r="Y112" s="8"/>
      <c r="Z112" s="8"/>
    </row>
    <row r="113" spans="1:26" ht="12.75" customHeight="1" x14ac:dyDescent="0.25">
      <c r="A113" s="8"/>
      <c r="B113" s="31"/>
      <c r="C113" s="32"/>
      <c r="D113" s="32"/>
      <c r="E113" s="32"/>
      <c r="F113" s="32"/>
      <c r="G113" s="8"/>
      <c r="H113" s="8"/>
      <c r="I113" s="8"/>
      <c r="J113" s="8"/>
      <c r="K113" s="8"/>
      <c r="L113" s="8"/>
      <c r="M113" s="8"/>
      <c r="N113" s="8"/>
      <c r="O113" s="8"/>
      <c r="P113" s="8"/>
      <c r="Q113" s="8"/>
      <c r="R113" s="8"/>
      <c r="S113" s="8"/>
      <c r="T113" s="8"/>
      <c r="U113" s="8"/>
      <c r="V113" s="8"/>
      <c r="W113" s="8"/>
      <c r="X113" s="8"/>
      <c r="Y113" s="8"/>
      <c r="Z113" s="8"/>
    </row>
    <row r="114" spans="1:26" ht="12.75" customHeight="1" x14ac:dyDescent="0.25">
      <c r="A114" s="8"/>
      <c r="B114" s="31"/>
      <c r="C114" s="32"/>
      <c r="D114" s="32"/>
      <c r="E114" s="32"/>
      <c r="F114" s="32"/>
      <c r="G114" s="8"/>
      <c r="H114" s="8"/>
      <c r="I114" s="8"/>
      <c r="J114" s="8"/>
      <c r="K114" s="8"/>
      <c r="L114" s="8"/>
      <c r="M114" s="8"/>
      <c r="N114" s="8"/>
      <c r="O114" s="8"/>
      <c r="P114" s="8"/>
      <c r="Q114" s="8"/>
      <c r="R114" s="8"/>
      <c r="S114" s="8"/>
      <c r="T114" s="8"/>
      <c r="U114" s="8"/>
      <c r="V114" s="8"/>
      <c r="W114" s="8"/>
      <c r="X114" s="8"/>
      <c r="Y114" s="8"/>
      <c r="Z114" s="8"/>
    </row>
    <row r="115" spans="1:26" ht="12.75" customHeight="1" x14ac:dyDescent="0.25">
      <c r="A115" s="8"/>
      <c r="B115" s="31"/>
      <c r="C115" s="32"/>
      <c r="D115" s="32"/>
      <c r="E115" s="32"/>
      <c r="F115" s="32"/>
      <c r="G115" s="8"/>
      <c r="H115" s="8"/>
      <c r="I115" s="8"/>
      <c r="J115" s="8"/>
      <c r="K115" s="8"/>
      <c r="L115" s="8"/>
      <c r="M115" s="8"/>
      <c r="N115" s="8"/>
      <c r="O115" s="8"/>
      <c r="P115" s="8"/>
      <c r="Q115" s="8"/>
      <c r="R115" s="8"/>
      <c r="S115" s="8"/>
      <c r="T115" s="8"/>
      <c r="U115" s="8"/>
      <c r="V115" s="8"/>
      <c r="W115" s="8"/>
      <c r="X115" s="8"/>
      <c r="Y115" s="8"/>
      <c r="Z115" s="8"/>
    </row>
    <row r="116" spans="1:26" ht="12.75" customHeight="1" x14ac:dyDescent="0.25">
      <c r="A116" s="8"/>
      <c r="B116" s="31"/>
      <c r="C116" s="32"/>
      <c r="D116" s="32"/>
      <c r="E116" s="32"/>
      <c r="F116" s="32"/>
      <c r="G116" s="8"/>
      <c r="H116" s="8"/>
      <c r="I116" s="8"/>
      <c r="J116" s="8"/>
      <c r="K116" s="8"/>
      <c r="L116" s="8"/>
      <c r="M116" s="8"/>
      <c r="N116" s="8"/>
      <c r="O116" s="8"/>
      <c r="P116" s="8"/>
      <c r="Q116" s="8"/>
      <c r="R116" s="8"/>
      <c r="S116" s="8"/>
      <c r="T116" s="8"/>
      <c r="U116" s="8"/>
      <c r="V116" s="8"/>
      <c r="W116" s="8"/>
      <c r="X116" s="8"/>
      <c r="Y116" s="8"/>
      <c r="Z116" s="8"/>
    </row>
    <row r="117" spans="1:26" ht="12.75" customHeight="1" x14ac:dyDescent="0.25">
      <c r="A117" s="8"/>
      <c r="B117" s="31"/>
      <c r="C117" s="32"/>
      <c r="D117" s="32"/>
      <c r="E117" s="32"/>
      <c r="F117" s="32"/>
      <c r="G117" s="8"/>
      <c r="H117" s="8"/>
      <c r="I117" s="8"/>
      <c r="J117" s="8"/>
      <c r="K117" s="8"/>
      <c r="L117" s="8"/>
      <c r="M117" s="8"/>
      <c r="N117" s="8"/>
      <c r="O117" s="8"/>
      <c r="P117" s="8"/>
      <c r="Q117" s="8"/>
      <c r="R117" s="8"/>
      <c r="S117" s="8"/>
      <c r="T117" s="8"/>
      <c r="U117" s="8"/>
      <c r="V117" s="8"/>
      <c r="W117" s="8"/>
      <c r="X117" s="8"/>
      <c r="Y117" s="8"/>
      <c r="Z117" s="8"/>
    </row>
    <row r="118" spans="1:26" ht="12.75" customHeight="1" x14ac:dyDescent="0.25">
      <c r="A118" s="8"/>
      <c r="B118" s="31"/>
      <c r="C118" s="32"/>
      <c r="D118" s="32"/>
      <c r="E118" s="32"/>
      <c r="F118" s="32"/>
      <c r="G118" s="8"/>
      <c r="H118" s="8"/>
      <c r="I118" s="8"/>
      <c r="J118" s="8"/>
      <c r="K118" s="8"/>
      <c r="L118" s="8"/>
      <c r="M118" s="8"/>
      <c r="N118" s="8"/>
      <c r="O118" s="8"/>
      <c r="P118" s="8"/>
      <c r="Q118" s="8"/>
      <c r="R118" s="8"/>
      <c r="S118" s="8"/>
      <c r="T118" s="8"/>
      <c r="U118" s="8"/>
      <c r="V118" s="8"/>
      <c r="W118" s="8"/>
      <c r="X118" s="8"/>
      <c r="Y118" s="8"/>
      <c r="Z118" s="8"/>
    </row>
    <row r="119" spans="1:26" ht="12.75" customHeight="1" x14ac:dyDescent="0.25">
      <c r="A119" s="8"/>
      <c r="B119" s="31"/>
      <c r="C119" s="32"/>
      <c r="D119" s="32"/>
      <c r="E119" s="32"/>
      <c r="F119" s="32"/>
      <c r="G119" s="8"/>
      <c r="H119" s="8"/>
      <c r="I119" s="8"/>
      <c r="J119" s="8"/>
      <c r="K119" s="8"/>
      <c r="L119" s="8"/>
      <c r="M119" s="8"/>
      <c r="N119" s="8"/>
      <c r="O119" s="8"/>
      <c r="P119" s="8"/>
      <c r="Q119" s="8"/>
      <c r="R119" s="8"/>
      <c r="S119" s="8"/>
      <c r="T119" s="8"/>
      <c r="U119" s="8"/>
      <c r="V119" s="8"/>
      <c r="W119" s="8"/>
      <c r="X119" s="8"/>
      <c r="Y119" s="8"/>
      <c r="Z119" s="8"/>
    </row>
    <row r="120" spans="1:26" ht="12.75" customHeight="1" x14ac:dyDescent="0.25">
      <c r="A120" s="8"/>
      <c r="B120" s="31"/>
      <c r="C120" s="32"/>
      <c r="D120" s="32"/>
      <c r="E120" s="32"/>
      <c r="F120" s="32"/>
      <c r="G120" s="8"/>
      <c r="H120" s="8"/>
      <c r="I120" s="8"/>
      <c r="J120" s="8"/>
      <c r="K120" s="8"/>
      <c r="L120" s="8"/>
      <c r="M120" s="8"/>
      <c r="N120" s="8"/>
      <c r="O120" s="8"/>
      <c r="P120" s="8"/>
      <c r="Q120" s="8"/>
      <c r="R120" s="8"/>
      <c r="S120" s="8"/>
      <c r="T120" s="8"/>
      <c r="U120" s="8"/>
      <c r="V120" s="8"/>
      <c r="W120" s="8"/>
      <c r="X120" s="8"/>
      <c r="Y120" s="8"/>
      <c r="Z120" s="8"/>
    </row>
    <row r="121" spans="1:26" ht="12.75" customHeight="1" x14ac:dyDescent="0.25">
      <c r="A121" s="8"/>
      <c r="B121" s="31"/>
      <c r="C121" s="32"/>
      <c r="D121" s="32"/>
      <c r="E121" s="32"/>
      <c r="F121" s="32"/>
      <c r="G121" s="8"/>
      <c r="H121" s="8"/>
      <c r="I121" s="8"/>
      <c r="J121" s="8"/>
      <c r="K121" s="8"/>
      <c r="L121" s="8"/>
      <c r="M121" s="8"/>
      <c r="N121" s="8"/>
      <c r="O121" s="8"/>
      <c r="P121" s="8"/>
      <c r="Q121" s="8"/>
      <c r="R121" s="8"/>
      <c r="S121" s="8"/>
      <c r="T121" s="8"/>
      <c r="U121" s="8"/>
      <c r="V121" s="8"/>
      <c r="W121" s="8"/>
      <c r="X121" s="8"/>
      <c r="Y121" s="8"/>
      <c r="Z121" s="8"/>
    </row>
    <row r="122" spans="1:26" ht="12.75" customHeight="1" x14ac:dyDescent="0.25">
      <c r="A122" s="8"/>
      <c r="B122" s="31"/>
      <c r="C122" s="32"/>
      <c r="D122" s="32"/>
      <c r="E122" s="32"/>
      <c r="F122" s="32"/>
      <c r="G122" s="8"/>
      <c r="H122" s="8"/>
      <c r="I122" s="8"/>
      <c r="J122" s="8"/>
      <c r="K122" s="8"/>
      <c r="L122" s="8"/>
      <c r="M122" s="8"/>
      <c r="N122" s="8"/>
      <c r="O122" s="8"/>
      <c r="P122" s="8"/>
      <c r="Q122" s="8"/>
      <c r="R122" s="8"/>
      <c r="S122" s="8"/>
      <c r="T122" s="8"/>
      <c r="U122" s="8"/>
      <c r="V122" s="8"/>
      <c r="W122" s="8"/>
      <c r="X122" s="8"/>
      <c r="Y122" s="8"/>
      <c r="Z122" s="8"/>
    </row>
    <row r="123" spans="1:26" ht="12.75" customHeight="1" x14ac:dyDescent="0.25">
      <c r="A123" s="8"/>
      <c r="B123" s="31"/>
      <c r="C123" s="32"/>
      <c r="D123" s="32"/>
      <c r="E123" s="32"/>
      <c r="F123" s="32"/>
      <c r="G123" s="8"/>
      <c r="H123" s="8"/>
      <c r="I123" s="8"/>
      <c r="J123" s="8"/>
      <c r="K123" s="8"/>
      <c r="L123" s="8"/>
      <c r="M123" s="8"/>
      <c r="N123" s="8"/>
      <c r="O123" s="8"/>
      <c r="P123" s="8"/>
      <c r="Q123" s="8"/>
      <c r="R123" s="8"/>
      <c r="S123" s="8"/>
      <c r="T123" s="8"/>
      <c r="U123" s="8"/>
      <c r="V123" s="8"/>
      <c r="W123" s="8"/>
      <c r="X123" s="8"/>
      <c r="Y123" s="8"/>
      <c r="Z123" s="8"/>
    </row>
    <row r="124" spans="1:26" ht="12.75" customHeight="1" x14ac:dyDescent="0.25">
      <c r="A124" s="8"/>
      <c r="B124" s="31"/>
      <c r="C124" s="32"/>
      <c r="D124" s="32"/>
      <c r="E124" s="32"/>
      <c r="F124" s="32"/>
      <c r="G124" s="8"/>
      <c r="H124" s="8"/>
      <c r="I124" s="8"/>
      <c r="J124" s="8"/>
      <c r="K124" s="8"/>
      <c r="L124" s="8"/>
      <c r="M124" s="8"/>
      <c r="N124" s="8"/>
      <c r="O124" s="8"/>
      <c r="P124" s="8"/>
      <c r="Q124" s="8"/>
      <c r="R124" s="8"/>
      <c r="S124" s="8"/>
      <c r="T124" s="8"/>
      <c r="U124" s="8"/>
      <c r="V124" s="8"/>
      <c r="W124" s="8"/>
      <c r="X124" s="8"/>
      <c r="Y124" s="8"/>
      <c r="Z124" s="8"/>
    </row>
    <row r="125" spans="1:26" ht="12.75" customHeight="1" x14ac:dyDescent="0.25">
      <c r="A125" s="8"/>
      <c r="B125" s="31"/>
      <c r="C125" s="32"/>
      <c r="D125" s="32"/>
      <c r="E125" s="32"/>
      <c r="F125" s="32"/>
      <c r="G125" s="8"/>
      <c r="H125" s="8"/>
      <c r="I125" s="8"/>
      <c r="J125" s="8"/>
      <c r="K125" s="8"/>
      <c r="L125" s="8"/>
      <c r="M125" s="8"/>
      <c r="N125" s="8"/>
      <c r="O125" s="8"/>
      <c r="P125" s="8"/>
      <c r="Q125" s="8"/>
      <c r="R125" s="8"/>
      <c r="S125" s="8"/>
      <c r="T125" s="8"/>
      <c r="U125" s="8"/>
      <c r="V125" s="8"/>
      <c r="W125" s="8"/>
      <c r="X125" s="8"/>
      <c r="Y125" s="8"/>
      <c r="Z125" s="8"/>
    </row>
    <row r="126" spans="1:26" ht="12.75" customHeight="1" x14ac:dyDescent="0.25">
      <c r="A126" s="8"/>
      <c r="B126" s="31"/>
      <c r="C126" s="32"/>
      <c r="D126" s="32"/>
      <c r="E126" s="32"/>
      <c r="F126" s="32"/>
      <c r="G126" s="8"/>
      <c r="H126" s="8"/>
      <c r="I126" s="8"/>
      <c r="J126" s="8"/>
      <c r="K126" s="8"/>
      <c r="L126" s="8"/>
      <c r="M126" s="8"/>
      <c r="N126" s="8"/>
      <c r="O126" s="8"/>
      <c r="P126" s="8"/>
      <c r="Q126" s="8"/>
      <c r="R126" s="8"/>
      <c r="S126" s="8"/>
      <c r="T126" s="8"/>
      <c r="U126" s="8"/>
      <c r="V126" s="8"/>
      <c r="W126" s="8"/>
      <c r="X126" s="8"/>
      <c r="Y126" s="8"/>
      <c r="Z126" s="8"/>
    </row>
    <row r="127" spans="1:26" ht="12.75" customHeight="1" x14ac:dyDescent="0.25">
      <c r="A127" s="8"/>
      <c r="B127" s="31"/>
      <c r="C127" s="32"/>
      <c r="D127" s="32"/>
      <c r="E127" s="32"/>
      <c r="F127" s="32"/>
      <c r="G127" s="8"/>
      <c r="H127" s="8"/>
      <c r="I127" s="8"/>
      <c r="J127" s="8"/>
      <c r="K127" s="8"/>
      <c r="L127" s="8"/>
      <c r="M127" s="8"/>
      <c r="N127" s="8"/>
      <c r="O127" s="8"/>
      <c r="P127" s="8"/>
      <c r="Q127" s="8"/>
      <c r="R127" s="8"/>
      <c r="S127" s="8"/>
      <c r="T127" s="8"/>
      <c r="U127" s="8"/>
      <c r="V127" s="8"/>
      <c r="W127" s="8"/>
      <c r="X127" s="8"/>
      <c r="Y127" s="8"/>
      <c r="Z127" s="8"/>
    </row>
    <row r="128" spans="1:26" ht="12.75" customHeight="1" x14ac:dyDescent="0.25">
      <c r="A128" s="8"/>
      <c r="B128" s="31"/>
      <c r="C128" s="32"/>
      <c r="D128" s="32"/>
      <c r="E128" s="32"/>
      <c r="F128" s="32"/>
      <c r="G128" s="8"/>
      <c r="H128" s="8"/>
      <c r="I128" s="8"/>
      <c r="J128" s="8"/>
      <c r="K128" s="8"/>
      <c r="L128" s="8"/>
      <c r="M128" s="8"/>
      <c r="N128" s="8"/>
      <c r="O128" s="8"/>
      <c r="P128" s="8"/>
      <c r="Q128" s="8"/>
      <c r="R128" s="8"/>
      <c r="S128" s="8"/>
      <c r="T128" s="8"/>
      <c r="U128" s="8"/>
      <c r="V128" s="8"/>
      <c r="W128" s="8"/>
      <c r="X128" s="8"/>
      <c r="Y128" s="8"/>
      <c r="Z128" s="8"/>
    </row>
    <row r="129" spans="1:26" ht="12.75" customHeight="1" x14ac:dyDescent="0.25">
      <c r="A129" s="8"/>
      <c r="B129" s="31"/>
      <c r="C129" s="32"/>
      <c r="D129" s="32"/>
      <c r="E129" s="32"/>
      <c r="F129" s="32"/>
      <c r="G129" s="8"/>
      <c r="H129" s="8"/>
      <c r="I129" s="8"/>
      <c r="J129" s="8"/>
      <c r="K129" s="8"/>
      <c r="L129" s="8"/>
      <c r="M129" s="8"/>
      <c r="N129" s="8"/>
      <c r="O129" s="8"/>
      <c r="P129" s="8"/>
      <c r="Q129" s="8"/>
      <c r="R129" s="8"/>
      <c r="S129" s="8"/>
      <c r="T129" s="8"/>
      <c r="U129" s="8"/>
      <c r="V129" s="8"/>
      <c r="W129" s="8"/>
      <c r="X129" s="8"/>
      <c r="Y129" s="8"/>
      <c r="Z129" s="8"/>
    </row>
    <row r="130" spans="1:26" ht="12.75" customHeight="1" x14ac:dyDescent="0.25">
      <c r="A130" s="8"/>
      <c r="B130" s="31"/>
      <c r="C130" s="32"/>
      <c r="D130" s="32"/>
      <c r="E130" s="32"/>
      <c r="F130" s="32"/>
      <c r="G130" s="8"/>
      <c r="H130" s="8"/>
      <c r="I130" s="8"/>
      <c r="J130" s="8"/>
      <c r="K130" s="8"/>
      <c r="L130" s="8"/>
      <c r="M130" s="8"/>
      <c r="N130" s="8"/>
      <c r="O130" s="8"/>
      <c r="P130" s="8"/>
      <c r="Q130" s="8"/>
      <c r="R130" s="8"/>
      <c r="S130" s="8"/>
      <c r="T130" s="8"/>
      <c r="U130" s="8"/>
      <c r="V130" s="8"/>
      <c r="W130" s="8"/>
      <c r="X130" s="8"/>
      <c r="Y130" s="8"/>
      <c r="Z130" s="8"/>
    </row>
    <row r="131" spans="1:26" ht="12.75" customHeight="1" x14ac:dyDescent="0.25">
      <c r="A131" s="8"/>
      <c r="B131" s="31"/>
      <c r="C131" s="32"/>
      <c r="D131" s="32"/>
      <c r="E131" s="32"/>
      <c r="F131" s="32"/>
      <c r="G131" s="8"/>
      <c r="H131" s="8"/>
      <c r="I131" s="8"/>
      <c r="J131" s="8"/>
      <c r="K131" s="8"/>
      <c r="L131" s="8"/>
      <c r="M131" s="8"/>
      <c r="N131" s="8"/>
      <c r="O131" s="8"/>
      <c r="P131" s="8"/>
      <c r="Q131" s="8"/>
      <c r="R131" s="8"/>
      <c r="S131" s="8"/>
      <c r="T131" s="8"/>
      <c r="U131" s="8"/>
      <c r="V131" s="8"/>
      <c r="W131" s="8"/>
      <c r="X131" s="8"/>
      <c r="Y131" s="8"/>
      <c r="Z131" s="8"/>
    </row>
    <row r="132" spans="1:26" ht="12.75" customHeight="1" x14ac:dyDescent="0.25">
      <c r="A132" s="8"/>
      <c r="B132" s="31"/>
      <c r="C132" s="32"/>
      <c r="D132" s="32"/>
      <c r="E132" s="32"/>
      <c r="F132" s="32"/>
      <c r="G132" s="8"/>
      <c r="H132" s="8"/>
      <c r="I132" s="8"/>
      <c r="J132" s="8"/>
      <c r="K132" s="8"/>
      <c r="L132" s="8"/>
      <c r="M132" s="8"/>
      <c r="N132" s="8"/>
      <c r="O132" s="8"/>
      <c r="P132" s="8"/>
      <c r="Q132" s="8"/>
      <c r="R132" s="8"/>
      <c r="S132" s="8"/>
      <c r="T132" s="8"/>
      <c r="U132" s="8"/>
      <c r="V132" s="8"/>
      <c r="W132" s="8"/>
      <c r="X132" s="8"/>
      <c r="Y132" s="8"/>
      <c r="Z132" s="8"/>
    </row>
    <row r="133" spans="1:26" ht="12.75" customHeight="1" x14ac:dyDescent="0.25">
      <c r="A133" s="8"/>
      <c r="B133" s="31"/>
      <c r="C133" s="32"/>
      <c r="D133" s="32"/>
      <c r="E133" s="32"/>
      <c r="F133" s="32"/>
      <c r="G133" s="8"/>
      <c r="H133" s="8"/>
      <c r="I133" s="8"/>
      <c r="J133" s="8"/>
      <c r="K133" s="8"/>
      <c r="L133" s="8"/>
      <c r="M133" s="8"/>
      <c r="N133" s="8"/>
      <c r="O133" s="8"/>
      <c r="P133" s="8"/>
      <c r="Q133" s="8"/>
      <c r="R133" s="8"/>
      <c r="S133" s="8"/>
      <c r="T133" s="8"/>
      <c r="U133" s="8"/>
      <c r="V133" s="8"/>
      <c r="W133" s="8"/>
      <c r="X133" s="8"/>
      <c r="Y133" s="8"/>
      <c r="Z133" s="8"/>
    </row>
    <row r="134" spans="1:26" ht="12.75" customHeight="1" x14ac:dyDescent="0.25">
      <c r="A134" s="8"/>
      <c r="B134" s="31"/>
      <c r="C134" s="32"/>
      <c r="D134" s="32"/>
      <c r="E134" s="32"/>
      <c r="F134" s="32"/>
      <c r="G134" s="8"/>
      <c r="H134" s="8"/>
      <c r="I134" s="8"/>
      <c r="J134" s="8"/>
      <c r="K134" s="8"/>
      <c r="L134" s="8"/>
      <c r="M134" s="8"/>
      <c r="N134" s="8"/>
      <c r="O134" s="8"/>
      <c r="P134" s="8"/>
      <c r="Q134" s="8"/>
      <c r="R134" s="8"/>
      <c r="S134" s="8"/>
      <c r="T134" s="8"/>
      <c r="U134" s="8"/>
      <c r="V134" s="8"/>
      <c r="W134" s="8"/>
      <c r="X134" s="8"/>
      <c r="Y134" s="8"/>
      <c r="Z134" s="8"/>
    </row>
    <row r="135" spans="1:26" ht="12.75" customHeight="1" x14ac:dyDescent="0.25">
      <c r="A135" s="8"/>
      <c r="B135" s="31"/>
      <c r="C135" s="32"/>
      <c r="D135" s="32"/>
      <c r="E135" s="32"/>
      <c r="F135" s="32"/>
      <c r="G135" s="8"/>
      <c r="H135" s="8"/>
      <c r="I135" s="8"/>
      <c r="J135" s="8"/>
      <c r="K135" s="8"/>
      <c r="L135" s="8"/>
      <c r="M135" s="8"/>
      <c r="N135" s="8"/>
      <c r="O135" s="8"/>
      <c r="P135" s="8"/>
      <c r="Q135" s="8"/>
      <c r="R135" s="8"/>
      <c r="S135" s="8"/>
      <c r="T135" s="8"/>
      <c r="U135" s="8"/>
      <c r="V135" s="8"/>
      <c r="W135" s="8"/>
      <c r="X135" s="8"/>
      <c r="Y135" s="8"/>
      <c r="Z135" s="8"/>
    </row>
    <row r="136" spans="1:26" ht="12.75" customHeight="1" x14ac:dyDescent="0.25">
      <c r="A136" s="8"/>
      <c r="B136" s="31"/>
      <c r="C136" s="32"/>
      <c r="D136" s="32"/>
      <c r="E136" s="32"/>
      <c r="F136" s="32"/>
      <c r="G136" s="8"/>
      <c r="H136" s="8"/>
      <c r="I136" s="8"/>
      <c r="J136" s="8"/>
      <c r="K136" s="8"/>
      <c r="L136" s="8"/>
      <c r="M136" s="8"/>
      <c r="N136" s="8"/>
      <c r="O136" s="8"/>
      <c r="P136" s="8"/>
      <c r="Q136" s="8"/>
      <c r="R136" s="8"/>
      <c r="S136" s="8"/>
      <c r="T136" s="8"/>
      <c r="U136" s="8"/>
      <c r="V136" s="8"/>
      <c r="W136" s="8"/>
      <c r="X136" s="8"/>
      <c r="Y136" s="8"/>
      <c r="Z136" s="8"/>
    </row>
    <row r="137" spans="1:26" ht="12.75" customHeight="1" x14ac:dyDescent="0.25">
      <c r="A137" s="8"/>
      <c r="B137" s="31"/>
      <c r="C137" s="32"/>
      <c r="D137" s="32"/>
      <c r="E137" s="32"/>
      <c r="F137" s="32"/>
      <c r="G137" s="8"/>
      <c r="H137" s="8"/>
      <c r="I137" s="8"/>
      <c r="J137" s="8"/>
      <c r="K137" s="8"/>
      <c r="L137" s="8"/>
      <c r="M137" s="8"/>
      <c r="N137" s="8"/>
      <c r="O137" s="8"/>
      <c r="P137" s="8"/>
      <c r="Q137" s="8"/>
      <c r="R137" s="8"/>
      <c r="S137" s="8"/>
      <c r="T137" s="8"/>
      <c r="U137" s="8"/>
      <c r="V137" s="8"/>
      <c r="W137" s="8"/>
      <c r="X137" s="8"/>
      <c r="Y137" s="8"/>
      <c r="Z137" s="8"/>
    </row>
    <row r="138" spans="1:26" ht="12.75" customHeight="1" x14ac:dyDescent="0.25">
      <c r="A138" s="8"/>
      <c r="B138" s="31"/>
      <c r="C138" s="32"/>
      <c r="D138" s="32"/>
      <c r="E138" s="32"/>
      <c r="F138" s="32"/>
      <c r="G138" s="8"/>
      <c r="H138" s="8"/>
      <c r="I138" s="8"/>
      <c r="J138" s="8"/>
      <c r="K138" s="8"/>
      <c r="L138" s="8"/>
      <c r="M138" s="8"/>
      <c r="N138" s="8"/>
      <c r="O138" s="8"/>
      <c r="P138" s="8"/>
      <c r="Q138" s="8"/>
      <c r="R138" s="8"/>
      <c r="S138" s="8"/>
      <c r="T138" s="8"/>
      <c r="U138" s="8"/>
      <c r="V138" s="8"/>
      <c r="W138" s="8"/>
      <c r="X138" s="8"/>
      <c r="Y138" s="8"/>
      <c r="Z138" s="8"/>
    </row>
    <row r="139" spans="1:26" ht="12.75" customHeight="1" x14ac:dyDescent="0.25">
      <c r="A139" s="8"/>
      <c r="B139" s="31"/>
      <c r="C139" s="32"/>
      <c r="D139" s="32"/>
      <c r="E139" s="32"/>
      <c r="F139" s="32"/>
      <c r="G139" s="8"/>
      <c r="H139" s="8"/>
      <c r="I139" s="8"/>
      <c r="J139" s="8"/>
      <c r="K139" s="8"/>
      <c r="L139" s="8"/>
      <c r="M139" s="8"/>
      <c r="N139" s="8"/>
      <c r="O139" s="8"/>
      <c r="P139" s="8"/>
      <c r="Q139" s="8"/>
      <c r="R139" s="8"/>
      <c r="S139" s="8"/>
      <c r="T139" s="8"/>
      <c r="U139" s="8"/>
      <c r="V139" s="8"/>
      <c r="W139" s="8"/>
      <c r="X139" s="8"/>
      <c r="Y139" s="8"/>
      <c r="Z139" s="8"/>
    </row>
    <row r="140" spans="1:26" ht="12.75" customHeight="1" x14ac:dyDescent="0.25">
      <c r="A140" s="8"/>
      <c r="B140" s="31"/>
      <c r="C140" s="32"/>
      <c r="D140" s="32"/>
      <c r="E140" s="32"/>
      <c r="F140" s="32"/>
      <c r="G140" s="8"/>
      <c r="H140" s="8"/>
      <c r="I140" s="8"/>
      <c r="J140" s="8"/>
      <c r="K140" s="8"/>
      <c r="L140" s="8"/>
      <c r="M140" s="8"/>
      <c r="N140" s="8"/>
      <c r="O140" s="8"/>
      <c r="P140" s="8"/>
      <c r="Q140" s="8"/>
      <c r="R140" s="8"/>
      <c r="S140" s="8"/>
      <c r="T140" s="8"/>
      <c r="U140" s="8"/>
      <c r="V140" s="8"/>
      <c r="W140" s="8"/>
      <c r="X140" s="8"/>
      <c r="Y140" s="8"/>
      <c r="Z140" s="8"/>
    </row>
    <row r="141" spans="1:26" ht="12.75" customHeight="1" x14ac:dyDescent="0.25">
      <c r="A141" s="8"/>
      <c r="B141" s="31"/>
      <c r="C141" s="32"/>
      <c r="D141" s="32"/>
      <c r="E141" s="32"/>
      <c r="F141" s="32"/>
      <c r="G141" s="8"/>
      <c r="H141" s="8"/>
      <c r="I141" s="8"/>
      <c r="J141" s="8"/>
      <c r="K141" s="8"/>
      <c r="L141" s="8"/>
      <c r="M141" s="8"/>
      <c r="N141" s="8"/>
      <c r="O141" s="8"/>
      <c r="P141" s="8"/>
      <c r="Q141" s="8"/>
      <c r="R141" s="8"/>
      <c r="S141" s="8"/>
      <c r="T141" s="8"/>
      <c r="U141" s="8"/>
      <c r="V141" s="8"/>
      <c r="W141" s="8"/>
      <c r="X141" s="8"/>
      <c r="Y141" s="8"/>
      <c r="Z141" s="8"/>
    </row>
    <row r="142" spans="1:26" ht="12.75" customHeight="1" x14ac:dyDescent="0.25">
      <c r="A142" s="8"/>
      <c r="B142" s="31"/>
      <c r="C142" s="32"/>
      <c r="D142" s="32"/>
      <c r="E142" s="32"/>
      <c r="F142" s="32"/>
      <c r="G142" s="8"/>
      <c r="H142" s="8"/>
      <c r="I142" s="8"/>
      <c r="J142" s="8"/>
      <c r="K142" s="8"/>
      <c r="L142" s="8"/>
      <c r="M142" s="8"/>
      <c r="N142" s="8"/>
      <c r="O142" s="8"/>
      <c r="P142" s="8"/>
      <c r="Q142" s="8"/>
      <c r="R142" s="8"/>
      <c r="S142" s="8"/>
      <c r="T142" s="8"/>
      <c r="U142" s="8"/>
      <c r="V142" s="8"/>
      <c r="W142" s="8"/>
      <c r="X142" s="8"/>
      <c r="Y142" s="8"/>
      <c r="Z142" s="8"/>
    </row>
    <row r="143" spans="1:26" ht="12.75" customHeight="1" x14ac:dyDescent="0.25">
      <c r="A143" s="8"/>
      <c r="B143" s="31"/>
      <c r="C143" s="32"/>
      <c r="D143" s="32"/>
      <c r="E143" s="32"/>
      <c r="F143" s="32"/>
      <c r="G143" s="8"/>
      <c r="H143" s="8"/>
      <c r="I143" s="8"/>
      <c r="J143" s="8"/>
      <c r="K143" s="8"/>
      <c r="L143" s="8"/>
      <c r="M143" s="8"/>
      <c r="N143" s="8"/>
      <c r="O143" s="8"/>
      <c r="P143" s="8"/>
      <c r="Q143" s="8"/>
      <c r="R143" s="8"/>
      <c r="S143" s="8"/>
      <c r="T143" s="8"/>
      <c r="U143" s="8"/>
      <c r="V143" s="8"/>
      <c r="W143" s="8"/>
      <c r="X143" s="8"/>
      <c r="Y143" s="8"/>
      <c r="Z143" s="8"/>
    </row>
    <row r="144" spans="1:26" ht="12.75" customHeight="1" x14ac:dyDescent="0.25">
      <c r="A144" s="8"/>
      <c r="B144" s="31"/>
      <c r="C144" s="32"/>
      <c r="D144" s="32"/>
      <c r="E144" s="32"/>
      <c r="F144" s="32"/>
      <c r="G144" s="8"/>
      <c r="H144" s="8"/>
      <c r="I144" s="8"/>
      <c r="J144" s="8"/>
      <c r="K144" s="8"/>
      <c r="L144" s="8"/>
      <c r="M144" s="8"/>
      <c r="N144" s="8"/>
      <c r="O144" s="8"/>
      <c r="P144" s="8"/>
      <c r="Q144" s="8"/>
      <c r="R144" s="8"/>
      <c r="S144" s="8"/>
      <c r="T144" s="8"/>
      <c r="U144" s="8"/>
      <c r="V144" s="8"/>
      <c r="W144" s="8"/>
      <c r="X144" s="8"/>
      <c r="Y144" s="8"/>
      <c r="Z144" s="8"/>
    </row>
    <row r="145" spans="1:26" ht="12.75" customHeight="1" x14ac:dyDescent="0.25">
      <c r="A145" s="8"/>
      <c r="B145" s="31"/>
      <c r="C145" s="32"/>
      <c r="D145" s="32"/>
      <c r="E145" s="32"/>
      <c r="F145" s="32"/>
      <c r="G145" s="8"/>
      <c r="H145" s="8"/>
      <c r="I145" s="8"/>
      <c r="J145" s="8"/>
      <c r="K145" s="8"/>
      <c r="L145" s="8"/>
      <c r="M145" s="8"/>
      <c r="N145" s="8"/>
      <c r="O145" s="8"/>
      <c r="P145" s="8"/>
      <c r="Q145" s="8"/>
      <c r="R145" s="8"/>
      <c r="S145" s="8"/>
      <c r="T145" s="8"/>
      <c r="U145" s="8"/>
      <c r="V145" s="8"/>
      <c r="W145" s="8"/>
      <c r="X145" s="8"/>
      <c r="Y145" s="8"/>
      <c r="Z145" s="8"/>
    </row>
    <row r="146" spans="1:26" ht="12.75" customHeight="1" x14ac:dyDescent="0.25">
      <c r="A146" s="8"/>
      <c r="B146" s="31"/>
      <c r="C146" s="32"/>
      <c r="D146" s="32"/>
      <c r="E146" s="32"/>
      <c r="F146" s="32"/>
      <c r="G146" s="8"/>
      <c r="H146" s="8"/>
      <c r="I146" s="8"/>
      <c r="J146" s="8"/>
      <c r="K146" s="8"/>
      <c r="L146" s="8"/>
      <c r="M146" s="8"/>
      <c r="N146" s="8"/>
      <c r="O146" s="8"/>
      <c r="P146" s="8"/>
      <c r="Q146" s="8"/>
      <c r="R146" s="8"/>
      <c r="S146" s="8"/>
      <c r="T146" s="8"/>
      <c r="U146" s="8"/>
      <c r="V146" s="8"/>
      <c r="W146" s="8"/>
      <c r="X146" s="8"/>
      <c r="Y146" s="8"/>
      <c r="Z146" s="8"/>
    </row>
    <row r="147" spans="1:26" ht="12.75" customHeight="1" x14ac:dyDescent="0.25">
      <c r="A147" s="8"/>
      <c r="B147" s="31"/>
      <c r="C147" s="32"/>
      <c r="D147" s="32"/>
      <c r="E147" s="32"/>
      <c r="F147" s="32"/>
      <c r="G147" s="8"/>
      <c r="H147" s="8"/>
      <c r="I147" s="8"/>
      <c r="J147" s="8"/>
      <c r="K147" s="8"/>
      <c r="L147" s="8"/>
      <c r="M147" s="8"/>
      <c r="N147" s="8"/>
      <c r="O147" s="8"/>
      <c r="P147" s="8"/>
      <c r="Q147" s="8"/>
      <c r="R147" s="8"/>
      <c r="S147" s="8"/>
      <c r="T147" s="8"/>
      <c r="U147" s="8"/>
      <c r="V147" s="8"/>
      <c r="W147" s="8"/>
      <c r="X147" s="8"/>
      <c r="Y147" s="8"/>
      <c r="Z147" s="8"/>
    </row>
    <row r="148" spans="1:26" ht="12.75" customHeight="1" x14ac:dyDescent="0.25">
      <c r="A148" s="8"/>
      <c r="B148" s="31"/>
      <c r="C148" s="32"/>
      <c r="D148" s="32"/>
      <c r="E148" s="32"/>
      <c r="F148" s="32"/>
      <c r="G148" s="8"/>
      <c r="H148" s="8"/>
      <c r="I148" s="8"/>
      <c r="J148" s="8"/>
      <c r="K148" s="8"/>
      <c r="L148" s="8"/>
      <c r="M148" s="8"/>
      <c r="N148" s="8"/>
      <c r="O148" s="8"/>
      <c r="P148" s="8"/>
      <c r="Q148" s="8"/>
      <c r="R148" s="8"/>
      <c r="S148" s="8"/>
      <c r="T148" s="8"/>
      <c r="U148" s="8"/>
      <c r="V148" s="8"/>
      <c r="W148" s="8"/>
      <c r="X148" s="8"/>
      <c r="Y148" s="8"/>
      <c r="Z148" s="8"/>
    </row>
    <row r="149" spans="1:26" ht="12.75" customHeight="1" x14ac:dyDescent="0.25">
      <c r="A149" s="8"/>
      <c r="B149" s="31"/>
      <c r="C149" s="32"/>
      <c r="D149" s="32"/>
      <c r="E149" s="32"/>
      <c r="F149" s="32"/>
      <c r="G149" s="8"/>
      <c r="H149" s="8"/>
      <c r="I149" s="8"/>
      <c r="J149" s="8"/>
      <c r="K149" s="8"/>
      <c r="L149" s="8"/>
      <c r="M149" s="8"/>
      <c r="N149" s="8"/>
      <c r="O149" s="8"/>
      <c r="P149" s="8"/>
      <c r="Q149" s="8"/>
      <c r="R149" s="8"/>
      <c r="S149" s="8"/>
      <c r="T149" s="8"/>
      <c r="U149" s="8"/>
      <c r="V149" s="8"/>
      <c r="W149" s="8"/>
      <c r="X149" s="8"/>
      <c r="Y149" s="8"/>
      <c r="Z149" s="8"/>
    </row>
    <row r="150" spans="1:26" ht="12.75" customHeight="1" x14ac:dyDescent="0.25">
      <c r="A150" s="8"/>
      <c r="B150" s="31"/>
      <c r="C150" s="32"/>
      <c r="D150" s="32"/>
      <c r="E150" s="32"/>
      <c r="F150" s="32"/>
      <c r="G150" s="8"/>
      <c r="H150" s="8"/>
      <c r="I150" s="8"/>
      <c r="J150" s="8"/>
      <c r="K150" s="8"/>
      <c r="L150" s="8"/>
      <c r="M150" s="8"/>
      <c r="N150" s="8"/>
      <c r="O150" s="8"/>
      <c r="P150" s="8"/>
      <c r="Q150" s="8"/>
      <c r="R150" s="8"/>
      <c r="S150" s="8"/>
      <c r="T150" s="8"/>
      <c r="U150" s="8"/>
      <c r="V150" s="8"/>
      <c r="W150" s="8"/>
      <c r="X150" s="8"/>
      <c r="Y150" s="8"/>
      <c r="Z150" s="8"/>
    </row>
    <row r="151" spans="1:26" ht="12.75" customHeight="1" x14ac:dyDescent="0.25">
      <c r="A151" s="8"/>
      <c r="B151" s="31"/>
      <c r="C151" s="32"/>
      <c r="D151" s="32"/>
      <c r="E151" s="32"/>
      <c r="F151" s="32"/>
      <c r="G151" s="8"/>
      <c r="H151" s="8"/>
      <c r="I151" s="8"/>
      <c r="J151" s="8"/>
      <c r="K151" s="8"/>
      <c r="L151" s="8"/>
      <c r="M151" s="8"/>
      <c r="N151" s="8"/>
      <c r="O151" s="8"/>
      <c r="P151" s="8"/>
      <c r="Q151" s="8"/>
      <c r="R151" s="8"/>
      <c r="S151" s="8"/>
      <c r="T151" s="8"/>
      <c r="U151" s="8"/>
      <c r="V151" s="8"/>
      <c r="W151" s="8"/>
      <c r="X151" s="8"/>
      <c r="Y151" s="8"/>
      <c r="Z151" s="8"/>
    </row>
    <row r="152" spans="1:26" ht="12.75" customHeight="1" x14ac:dyDescent="0.25">
      <c r="A152" s="8"/>
      <c r="B152" s="31"/>
      <c r="C152" s="32"/>
      <c r="D152" s="32"/>
      <c r="E152" s="32"/>
      <c r="F152" s="32"/>
      <c r="G152" s="8"/>
      <c r="H152" s="8"/>
      <c r="I152" s="8"/>
      <c r="J152" s="8"/>
      <c r="K152" s="8"/>
      <c r="L152" s="8"/>
      <c r="M152" s="8"/>
      <c r="N152" s="8"/>
      <c r="O152" s="8"/>
      <c r="P152" s="8"/>
      <c r="Q152" s="8"/>
      <c r="R152" s="8"/>
      <c r="S152" s="8"/>
      <c r="T152" s="8"/>
      <c r="U152" s="8"/>
      <c r="V152" s="8"/>
      <c r="W152" s="8"/>
      <c r="X152" s="8"/>
      <c r="Y152" s="8"/>
      <c r="Z152" s="8"/>
    </row>
    <row r="153" spans="1:26" ht="12.75" customHeight="1" x14ac:dyDescent="0.25">
      <c r="A153" s="8"/>
      <c r="B153" s="31"/>
      <c r="C153" s="32"/>
      <c r="D153" s="32"/>
      <c r="E153" s="32"/>
      <c r="F153" s="32"/>
      <c r="G153" s="8"/>
      <c r="H153" s="8"/>
      <c r="I153" s="8"/>
      <c r="J153" s="8"/>
      <c r="K153" s="8"/>
      <c r="L153" s="8"/>
      <c r="M153" s="8"/>
      <c r="N153" s="8"/>
      <c r="O153" s="8"/>
      <c r="P153" s="8"/>
      <c r="Q153" s="8"/>
      <c r="R153" s="8"/>
      <c r="S153" s="8"/>
      <c r="T153" s="8"/>
      <c r="U153" s="8"/>
      <c r="V153" s="8"/>
      <c r="W153" s="8"/>
      <c r="X153" s="8"/>
      <c r="Y153" s="8"/>
      <c r="Z153" s="8"/>
    </row>
    <row r="154" spans="1:26" ht="12.75" customHeight="1" x14ac:dyDescent="0.25">
      <c r="A154" s="8"/>
      <c r="B154" s="31"/>
      <c r="C154" s="32"/>
      <c r="D154" s="32"/>
      <c r="E154" s="32"/>
      <c r="F154" s="32"/>
      <c r="G154" s="8"/>
      <c r="H154" s="8"/>
      <c r="I154" s="8"/>
      <c r="J154" s="8"/>
      <c r="K154" s="8"/>
      <c r="L154" s="8"/>
      <c r="M154" s="8"/>
      <c r="N154" s="8"/>
      <c r="O154" s="8"/>
      <c r="P154" s="8"/>
      <c r="Q154" s="8"/>
      <c r="R154" s="8"/>
      <c r="S154" s="8"/>
      <c r="T154" s="8"/>
      <c r="U154" s="8"/>
      <c r="V154" s="8"/>
      <c r="W154" s="8"/>
      <c r="X154" s="8"/>
      <c r="Y154" s="8"/>
      <c r="Z154" s="8"/>
    </row>
    <row r="155" spans="1:26" ht="12.75" customHeight="1" x14ac:dyDescent="0.25">
      <c r="A155" s="8"/>
      <c r="B155" s="31"/>
      <c r="C155" s="32"/>
      <c r="D155" s="32"/>
      <c r="E155" s="32"/>
      <c r="F155" s="32"/>
      <c r="G155" s="8"/>
      <c r="H155" s="8"/>
      <c r="I155" s="8"/>
      <c r="J155" s="8"/>
      <c r="K155" s="8"/>
      <c r="L155" s="8"/>
      <c r="M155" s="8"/>
      <c r="N155" s="8"/>
      <c r="O155" s="8"/>
      <c r="P155" s="8"/>
      <c r="Q155" s="8"/>
      <c r="R155" s="8"/>
      <c r="S155" s="8"/>
      <c r="T155" s="8"/>
      <c r="U155" s="8"/>
      <c r="V155" s="8"/>
      <c r="W155" s="8"/>
      <c r="X155" s="8"/>
      <c r="Y155" s="8"/>
      <c r="Z155" s="8"/>
    </row>
    <row r="156" spans="1:26" ht="12.75" customHeight="1" x14ac:dyDescent="0.25">
      <c r="A156" s="8"/>
      <c r="B156" s="31"/>
      <c r="C156" s="32"/>
      <c r="D156" s="32"/>
      <c r="E156" s="32"/>
      <c r="F156" s="32"/>
      <c r="G156" s="8"/>
      <c r="H156" s="8"/>
      <c r="I156" s="8"/>
      <c r="J156" s="8"/>
      <c r="K156" s="8"/>
      <c r="L156" s="8"/>
      <c r="M156" s="8"/>
      <c r="N156" s="8"/>
      <c r="O156" s="8"/>
      <c r="P156" s="8"/>
      <c r="Q156" s="8"/>
      <c r="R156" s="8"/>
      <c r="S156" s="8"/>
      <c r="T156" s="8"/>
      <c r="U156" s="8"/>
      <c r="V156" s="8"/>
      <c r="W156" s="8"/>
      <c r="X156" s="8"/>
      <c r="Y156" s="8"/>
      <c r="Z156" s="8"/>
    </row>
    <row r="157" spans="1:26" ht="12.75" customHeight="1" x14ac:dyDescent="0.25">
      <c r="A157" s="8"/>
      <c r="B157" s="31"/>
      <c r="C157" s="32"/>
      <c r="D157" s="32"/>
      <c r="E157" s="32"/>
      <c r="F157" s="32"/>
      <c r="G157" s="8"/>
      <c r="H157" s="8"/>
      <c r="I157" s="8"/>
      <c r="J157" s="8"/>
      <c r="K157" s="8"/>
      <c r="L157" s="8"/>
      <c r="M157" s="8"/>
      <c r="N157" s="8"/>
      <c r="O157" s="8"/>
      <c r="P157" s="8"/>
      <c r="Q157" s="8"/>
      <c r="R157" s="8"/>
      <c r="S157" s="8"/>
      <c r="T157" s="8"/>
      <c r="U157" s="8"/>
      <c r="V157" s="8"/>
      <c r="W157" s="8"/>
      <c r="X157" s="8"/>
      <c r="Y157" s="8"/>
      <c r="Z157" s="8"/>
    </row>
    <row r="158" spans="1:26" ht="12.75" customHeight="1" x14ac:dyDescent="0.25">
      <c r="A158" s="8"/>
      <c r="B158" s="31"/>
      <c r="C158" s="32"/>
      <c r="D158" s="32"/>
      <c r="E158" s="32"/>
      <c r="F158" s="32"/>
      <c r="G158" s="8"/>
      <c r="H158" s="8"/>
      <c r="I158" s="8"/>
      <c r="J158" s="8"/>
      <c r="K158" s="8"/>
      <c r="L158" s="8"/>
      <c r="M158" s="8"/>
      <c r="N158" s="8"/>
      <c r="O158" s="8"/>
      <c r="P158" s="8"/>
      <c r="Q158" s="8"/>
      <c r="R158" s="8"/>
      <c r="S158" s="8"/>
      <c r="T158" s="8"/>
      <c r="U158" s="8"/>
      <c r="V158" s="8"/>
      <c r="W158" s="8"/>
      <c r="X158" s="8"/>
      <c r="Y158" s="8"/>
      <c r="Z158" s="8"/>
    </row>
    <row r="159" spans="1:26" ht="12.75" customHeight="1" x14ac:dyDescent="0.25">
      <c r="A159" s="8"/>
      <c r="B159" s="31"/>
      <c r="C159" s="32"/>
      <c r="D159" s="32"/>
      <c r="E159" s="32"/>
      <c r="F159" s="32"/>
      <c r="G159" s="8"/>
      <c r="H159" s="8"/>
      <c r="I159" s="8"/>
      <c r="J159" s="8"/>
      <c r="K159" s="8"/>
      <c r="L159" s="8"/>
      <c r="M159" s="8"/>
      <c r="N159" s="8"/>
      <c r="O159" s="8"/>
      <c r="P159" s="8"/>
      <c r="Q159" s="8"/>
      <c r="R159" s="8"/>
      <c r="S159" s="8"/>
      <c r="T159" s="8"/>
      <c r="U159" s="8"/>
      <c r="V159" s="8"/>
      <c r="W159" s="8"/>
      <c r="X159" s="8"/>
      <c r="Y159" s="8"/>
      <c r="Z159" s="8"/>
    </row>
    <row r="160" spans="1:26" ht="12.75" customHeight="1" x14ac:dyDescent="0.25">
      <c r="A160" s="8"/>
      <c r="B160" s="31"/>
      <c r="C160" s="32"/>
      <c r="D160" s="32"/>
      <c r="E160" s="32"/>
      <c r="F160" s="32"/>
      <c r="G160" s="8"/>
      <c r="H160" s="8"/>
      <c r="I160" s="8"/>
      <c r="J160" s="8"/>
      <c r="K160" s="8"/>
      <c r="L160" s="8"/>
      <c r="M160" s="8"/>
      <c r="N160" s="8"/>
      <c r="O160" s="8"/>
      <c r="P160" s="8"/>
      <c r="Q160" s="8"/>
      <c r="R160" s="8"/>
      <c r="S160" s="8"/>
      <c r="T160" s="8"/>
      <c r="U160" s="8"/>
      <c r="V160" s="8"/>
      <c r="W160" s="8"/>
      <c r="X160" s="8"/>
      <c r="Y160" s="8"/>
      <c r="Z160" s="8"/>
    </row>
    <row r="161" spans="1:26" ht="12.75" customHeight="1" x14ac:dyDescent="0.25">
      <c r="A161" s="8"/>
      <c r="B161" s="31"/>
      <c r="C161" s="32"/>
      <c r="D161" s="32"/>
      <c r="E161" s="32"/>
      <c r="F161" s="32"/>
      <c r="G161" s="8"/>
      <c r="H161" s="8"/>
      <c r="I161" s="8"/>
      <c r="J161" s="8"/>
      <c r="K161" s="8"/>
      <c r="L161" s="8"/>
      <c r="M161" s="8"/>
      <c r="N161" s="8"/>
      <c r="O161" s="8"/>
      <c r="P161" s="8"/>
      <c r="Q161" s="8"/>
      <c r="R161" s="8"/>
      <c r="S161" s="8"/>
      <c r="T161" s="8"/>
      <c r="U161" s="8"/>
      <c r="V161" s="8"/>
      <c r="W161" s="8"/>
      <c r="X161" s="8"/>
      <c r="Y161" s="8"/>
      <c r="Z161" s="8"/>
    </row>
    <row r="162" spans="1:26" ht="12.75" customHeight="1" x14ac:dyDescent="0.25">
      <c r="A162" s="8"/>
      <c r="B162" s="31"/>
      <c r="C162" s="32"/>
      <c r="D162" s="32"/>
      <c r="E162" s="32"/>
      <c r="F162" s="32"/>
      <c r="G162" s="8"/>
      <c r="H162" s="8"/>
      <c r="I162" s="8"/>
      <c r="J162" s="8"/>
      <c r="K162" s="8"/>
      <c r="L162" s="8"/>
      <c r="M162" s="8"/>
      <c r="N162" s="8"/>
      <c r="O162" s="8"/>
      <c r="P162" s="8"/>
      <c r="Q162" s="8"/>
      <c r="R162" s="8"/>
      <c r="S162" s="8"/>
      <c r="T162" s="8"/>
      <c r="U162" s="8"/>
      <c r="V162" s="8"/>
      <c r="W162" s="8"/>
      <c r="X162" s="8"/>
      <c r="Y162" s="8"/>
      <c r="Z162" s="8"/>
    </row>
    <row r="163" spans="1:26" ht="12.75" customHeight="1" x14ac:dyDescent="0.25">
      <c r="A163" s="8"/>
      <c r="B163" s="31"/>
      <c r="C163" s="32"/>
      <c r="D163" s="32"/>
      <c r="E163" s="32"/>
      <c r="F163" s="32"/>
      <c r="G163" s="8"/>
      <c r="H163" s="8"/>
      <c r="I163" s="8"/>
      <c r="J163" s="8"/>
      <c r="K163" s="8"/>
      <c r="L163" s="8"/>
      <c r="M163" s="8"/>
      <c r="N163" s="8"/>
      <c r="O163" s="8"/>
      <c r="P163" s="8"/>
      <c r="Q163" s="8"/>
      <c r="R163" s="8"/>
      <c r="S163" s="8"/>
      <c r="T163" s="8"/>
      <c r="U163" s="8"/>
      <c r="V163" s="8"/>
      <c r="W163" s="8"/>
      <c r="X163" s="8"/>
      <c r="Y163" s="8"/>
      <c r="Z163" s="8"/>
    </row>
    <row r="164" spans="1:26" ht="12.75" customHeight="1" x14ac:dyDescent="0.25">
      <c r="A164" s="8"/>
      <c r="B164" s="31"/>
      <c r="C164" s="32"/>
      <c r="D164" s="32"/>
      <c r="E164" s="32"/>
      <c r="F164" s="32"/>
      <c r="G164" s="8"/>
      <c r="H164" s="8"/>
      <c r="I164" s="8"/>
      <c r="J164" s="8"/>
      <c r="K164" s="8"/>
      <c r="L164" s="8"/>
      <c r="M164" s="8"/>
      <c r="N164" s="8"/>
      <c r="O164" s="8"/>
      <c r="P164" s="8"/>
      <c r="Q164" s="8"/>
      <c r="R164" s="8"/>
      <c r="S164" s="8"/>
      <c r="T164" s="8"/>
      <c r="U164" s="8"/>
      <c r="V164" s="8"/>
      <c r="W164" s="8"/>
      <c r="X164" s="8"/>
      <c r="Y164" s="8"/>
      <c r="Z164" s="8"/>
    </row>
    <row r="165" spans="1:26" ht="12.75" customHeight="1" x14ac:dyDescent="0.25">
      <c r="A165" s="8"/>
      <c r="B165" s="31"/>
      <c r="C165" s="32"/>
      <c r="D165" s="32"/>
      <c r="E165" s="32"/>
      <c r="F165" s="32"/>
      <c r="G165" s="8"/>
      <c r="H165" s="8"/>
      <c r="I165" s="8"/>
      <c r="J165" s="8"/>
      <c r="K165" s="8"/>
      <c r="L165" s="8"/>
      <c r="M165" s="8"/>
      <c r="N165" s="8"/>
      <c r="O165" s="8"/>
      <c r="P165" s="8"/>
      <c r="Q165" s="8"/>
      <c r="R165" s="8"/>
      <c r="S165" s="8"/>
      <c r="T165" s="8"/>
      <c r="U165" s="8"/>
      <c r="V165" s="8"/>
      <c r="W165" s="8"/>
      <c r="X165" s="8"/>
      <c r="Y165" s="8"/>
      <c r="Z165" s="8"/>
    </row>
    <row r="166" spans="1:26" ht="12.75" customHeight="1" x14ac:dyDescent="0.25">
      <c r="A166" s="8"/>
      <c r="B166" s="31"/>
      <c r="C166" s="32"/>
      <c r="D166" s="32"/>
      <c r="E166" s="32"/>
      <c r="F166" s="32"/>
      <c r="G166" s="8"/>
      <c r="H166" s="8"/>
      <c r="I166" s="8"/>
      <c r="J166" s="8"/>
      <c r="K166" s="8"/>
      <c r="L166" s="8"/>
      <c r="M166" s="8"/>
      <c r="N166" s="8"/>
      <c r="O166" s="8"/>
      <c r="P166" s="8"/>
      <c r="Q166" s="8"/>
      <c r="R166" s="8"/>
      <c r="S166" s="8"/>
      <c r="T166" s="8"/>
      <c r="U166" s="8"/>
      <c r="V166" s="8"/>
      <c r="W166" s="8"/>
      <c r="X166" s="8"/>
      <c r="Y166" s="8"/>
      <c r="Z166" s="8"/>
    </row>
    <row r="167" spans="1:26" ht="12.75" customHeight="1" x14ac:dyDescent="0.25">
      <c r="A167" s="8"/>
      <c r="B167" s="31"/>
      <c r="C167" s="32"/>
      <c r="D167" s="32"/>
      <c r="E167" s="32"/>
      <c r="F167" s="32"/>
      <c r="G167" s="8"/>
      <c r="H167" s="8"/>
      <c r="I167" s="8"/>
      <c r="J167" s="8"/>
      <c r="K167" s="8"/>
      <c r="L167" s="8"/>
      <c r="M167" s="8"/>
      <c r="N167" s="8"/>
      <c r="O167" s="8"/>
      <c r="P167" s="8"/>
      <c r="Q167" s="8"/>
      <c r="R167" s="8"/>
      <c r="S167" s="8"/>
      <c r="T167" s="8"/>
      <c r="U167" s="8"/>
      <c r="V167" s="8"/>
      <c r="W167" s="8"/>
      <c r="X167" s="8"/>
      <c r="Y167" s="8"/>
      <c r="Z167" s="8"/>
    </row>
    <row r="168" spans="1:26" ht="12.75" customHeight="1" x14ac:dyDescent="0.25">
      <c r="A168" s="8"/>
      <c r="B168" s="31"/>
      <c r="C168" s="32"/>
      <c r="D168" s="32"/>
      <c r="E168" s="32"/>
      <c r="F168" s="32"/>
      <c r="G168" s="8"/>
      <c r="H168" s="8"/>
      <c r="I168" s="8"/>
      <c r="J168" s="8"/>
      <c r="K168" s="8"/>
      <c r="L168" s="8"/>
      <c r="M168" s="8"/>
      <c r="N168" s="8"/>
      <c r="O168" s="8"/>
      <c r="P168" s="8"/>
      <c r="Q168" s="8"/>
      <c r="R168" s="8"/>
      <c r="S168" s="8"/>
      <c r="T168" s="8"/>
      <c r="U168" s="8"/>
      <c r="V168" s="8"/>
      <c r="W168" s="8"/>
      <c r="X168" s="8"/>
      <c r="Y168" s="8"/>
      <c r="Z168" s="8"/>
    </row>
    <row r="169" spans="1:26" ht="12.75" customHeight="1" x14ac:dyDescent="0.25">
      <c r="A169" s="8"/>
      <c r="B169" s="31"/>
      <c r="C169" s="32"/>
      <c r="D169" s="32"/>
      <c r="E169" s="32"/>
      <c r="F169" s="32"/>
      <c r="G169" s="8"/>
      <c r="H169" s="8"/>
      <c r="I169" s="8"/>
      <c r="J169" s="8"/>
      <c r="K169" s="8"/>
      <c r="L169" s="8"/>
      <c r="M169" s="8"/>
      <c r="N169" s="8"/>
      <c r="O169" s="8"/>
      <c r="P169" s="8"/>
      <c r="Q169" s="8"/>
      <c r="R169" s="8"/>
      <c r="S169" s="8"/>
      <c r="T169" s="8"/>
      <c r="U169" s="8"/>
      <c r="V169" s="8"/>
      <c r="W169" s="8"/>
      <c r="X169" s="8"/>
      <c r="Y169" s="8"/>
      <c r="Z169" s="8"/>
    </row>
    <row r="170" spans="1:26" ht="12.75" customHeight="1" x14ac:dyDescent="0.25">
      <c r="A170" s="8"/>
      <c r="B170" s="31"/>
      <c r="C170" s="32"/>
      <c r="D170" s="32"/>
      <c r="E170" s="32"/>
      <c r="F170" s="32"/>
      <c r="G170" s="8"/>
      <c r="H170" s="8"/>
      <c r="I170" s="8"/>
      <c r="J170" s="8"/>
      <c r="K170" s="8"/>
      <c r="L170" s="8"/>
      <c r="M170" s="8"/>
      <c r="N170" s="8"/>
      <c r="O170" s="8"/>
      <c r="P170" s="8"/>
      <c r="Q170" s="8"/>
      <c r="R170" s="8"/>
      <c r="S170" s="8"/>
      <c r="T170" s="8"/>
      <c r="U170" s="8"/>
      <c r="V170" s="8"/>
      <c r="W170" s="8"/>
      <c r="X170" s="8"/>
      <c r="Y170" s="8"/>
      <c r="Z170" s="8"/>
    </row>
    <row r="171" spans="1:26" ht="12.75" customHeight="1" x14ac:dyDescent="0.25">
      <c r="A171" s="8"/>
      <c r="B171" s="31"/>
      <c r="C171" s="32"/>
      <c r="D171" s="32"/>
      <c r="E171" s="32"/>
      <c r="F171" s="32"/>
      <c r="G171" s="8"/>
      <c r="H171" s="8"/>
      <c r="I171" s="8"/>
      <c r="J171" s="8"/>
      <c r="K171" s="8"/>
      <c r="L171" s="8"/>
      <c r="M171" s="8"/>
      <c r="N171" s="8"/>
      <c r="O171" s="8"/>
      <c r="P171" s="8"/>
      <c r="Q171" s="8"/>
      <c r="R171" s="8"/>
      <c r="S171" s="8"/>
      <c r="T171" s="8"/>
      <c r="U171" s="8"/>
      <c r="V171" s="8"/>
      <c r="W171" s="8"/>
      <c r="X171" s="8"/>
      <c r="Y171" s="8"/>
      <c r="Z171" s="8"/>
    </row>
    <row r="172" spans="1:26" ht="12.75" customHeight="1" x14ac:dyDescent="0.25">
      <c r="A172" s="8"/>
      <c r="B172" s="31"/>
      <c r="C172" s="32"/>
      <c r="D172" s="32"/>
      <c r="E172" s="32"/>
      <c r="F172" s="32"/>
      <c r="G172" s="8"/>
      <c r="H172" s="8"/>
      <c r="I172" s="8"/>
      <c r="J172" s="8"/>
      <c r="K172" s="8"/>
      <c r="L172" s="8"/>
      <c r="M172" s="8"/>
      <c r="N172" s="8"/>
      <c r="O172" s="8"/>
      <c r="P172" s="8"/>
      <c r="Q172" s="8"/>
      <c r="R172" s="8"/>
      <c r="S172" s="8"/>
      <c r="T172" s="8"/>
      <c r="U172" s="8"/>
      <c r="V172" s="8"/>
      <c r="W172" s="8"/>
      <c r="X172" s="8"/>
      <c r="Y172" s="8"/>
      <c r="Z172" s="8"/>
    </row>
    <row r="173" spans="1:26" ht="12.75" customHeight="1" x14ac:dyDescent="0.25">
      <c r="A173" s="8"/>
      <c r="B173" s="31"/>
      <c r="C173" s="32"/>
      <c r="D173" s="32"/>
      <c r="E173" s="32"/>
      <c r="F173" s="32"/>
      <c r="G173" s="8"/>
      <c r="H173" s="8"/>
      <c r="I173" s="8"/>
      <c r="J173" s="8"/>
      <c r="K173" s="8"/>
      <c r="L173" s="8"/>
      <c r="M173" s="8"/>
      <c r="N173" s="8"/>
      <c r="O173" s="8"/>
      <c r="P173" s="8"/>
      <c r="Q173" s="8"/>
      <c r="R173" s="8"/>
      <c r="S173" s="8"/>
      <c r="T173" s="8"/>
      <c r="U173" s="8"/>
      <c r="V173" s="8"/>
      <c r="W173" s="8"/>
      <c r="X173" s="8"/>
      <c r="Y173" s="8"/>
      <c r="Z173" s="8"/>
    </row>
    <row r="174" spans="1:26" ht="12.75" customHeight="1" x14ac:dyDescent="0.25">
      <c r="A174" s="8"/>
      <c r="B174" s="31"/>
      <c r="C174" s="32"/>
      <c r="D174" s="32"/>
      <c r="E174" s="32"/>
      <c r="F174" s="32"/>
      <c r="G174" s="8"/>
      <c r="H174" s="8"/>
      <c r="I174" s="8"/>
      <c r="J174" s="8"/>
      <c r="K174" s="8"/>
      <c r="L174" s="8"/>
      <c r="M174" s="8"/>
      <c r="N174" s="8"/>
      <c r="O174" s="8"/>
      <c r="P174" s="8"/>
      <c r="Q174" s="8"/>
      <c r="R174" s="8"/>
      <c r="S174" s="8"/>
      <c r="T174" s="8"/>
      <c r="U174" s="8"/>
      <c r="V174" s="8"/>
      <c r="W174" s="8"/>
      <c r="X174" s="8"/>
      <c r="Y174" s="8"/>
      <c r="Z174" s="8"/>
    </row>
    <row r="175" spans="1:26" ht="12.75" customHeight="1" x14ac:dyDescent="0.25">
      <c r="A175" s="8"/>
      <c r="B175" s="31"/>
      <c r="C175" s="32"/>
      <c r="D175" s="32"/>
      <c r="E175" s="32"/>
      <c r="F175" s="32"/>
      <c r="G175" s="8"/>
      <c r="H175" s="8"/>
      <c r="I175" s="8"/>
      <c r="J175" s="8"/>
      <c r="K175" s="8"/>
      <c r="L175" s="8"/>
      <c r="M175" s="8"/>
      <c r="N175" s="8"/>
      <c r="O175" s="8"/>
      <c r="P175" s="8"/>
      <c r="Q175" s="8"/>
      <c r="R175" s="8"/>
      <c r="S175" s="8"/>
      <c r="T175" s="8"/>
      <c r="U175" s="8"/>
      <c r="V175" s="8"/>
      <c r="W175" s="8"/>
      <c r="X175" s="8"/>
      <c r="Y175" s="8"/>
      <c r="Z175" s="8"/>
    </row>
    <row r="176" spans="1:26" ht="12.75" customHeight="1" x14ac:dyDescent="0.25">
      <c r="A176" s="8"/>
      <c r="B176" s="31"/>
      <c r="C176" s="32"/>
      <c r="D176" s="32"/>
      <c r="E176" s="32"/>
      <c r="F176" s="32"/>
      <c r="G176" s="8"/>
      <c r="H176" s="8"/>
      <c r="I176" s="8"/>
      <c r="J176" s="8"/>
      <c r="K176" s="8"/>
      <c r="L176" s="8"/>
      <c r="M176" s="8"/>
      <c r="N176" s="8"/>
      <c r="O176" s="8"/>
      <c r="P176" s="8"/>
      <c r="Q176" s="8"/>
      <c r="R176" s="8"/>
      <c r="S176" s="8"/>
      <c r="T176" s="8"/>
      <c r="U176" s="8"/>
      <c r="V176" s="8"/>
      <c r="W176" s="8"/>
      <c r="X176" s="8"/>
      <c r="Y176" s="8"/>
      <c r="Z176" s="8"/>
    </row>
    <row r="177" spans="1:26" ht="12.75" customHeight="1" x14ac:dyDescent="0.25">
      <c r="A177" s="8"/>
      <c r="B177" s="31"/>
      <c r="C177" s="32"/>
      <c r="D177" s="32"/>
      <c r="E177" s="32"/>
      <c r="F177" s="32"/>
      <c r="G177" s="8"/>
      <c r="H177" s="8"/>
      <c r="I177" s="8"/>
      <c r="J177" s="8"/>
      <c r="K177" s="8"/>
      <c r="L177" s="8"/>
      <c r="M177" s="8"/>
      <c r="N177" s="8"/>
      <c r="O177" s="8"/>
      <c r="P177" s="8"/>
      <c r="Q177" s="8"/>
      <c r="R177" s="8"/>
      <c r="S177" s="8"/>
      <c r="T177" s="8"/>
      <c r="U177" s="8"/>
      <c r="V177" s="8"/>
      <c r="W177" s="8"/>
      <c r="X177" s="8"/>
      <c r="Y177" s="8"/>
      <c r="Z177" s="8"/>
    </row>
    <row r="178" spans="1:26" ht="12.75" customHeight="1" x14ac:dyDescent="0.25">
      <c r="A178" s="8"/>
      <c r="B178" s="31"/>
      <c r="C178" s="32"/>
      <c r="D178" s="32"/>
      <c r="E178" s="32"/>
      <c r="F178" s="32"/>
      <c r="G178" s="8"/>
      <c r="H178" s="8"/>
      <c r="I178" s="8"/>
      <c r="J178" s="8"/>
      <c r="K178" s="8"/>
      <c r="L178" s="8"/>
      <c r="M178" s="8"/>
      <c r="N178" s="8"/>
      <c r="O178" s="8"/>
      <c r="P178" s="8"/>
      <c r="Q178" s="8"/>
      <c r="R178" s="8"/>
      <c r="S178" s="8"/>
      <c r="T178" s="8"/>
      <c r="U178" s="8"/>
      <c r="V178" s="8"/>
      <c r="W178" s="8"/>
      <c r="X178" s="8"/>
      <c r="Y178" s="8"/>
      <c r="Z178" s="8"/>
    </row>
    <row r="179" spans="1:26" ht="12.75" customHeight="1" x14ac:dyDescent="0.25">
      <c r="A179" s="8"/>
      <c r="B179" s="31"/>
      <c r="C179" s="32"/>
      <c r="D179" s="32"/>
      <c r="E179" s="32"/>
      <c r="F179" s="32"/>
      <c r="G179" s="8"/>
      <c r="H179" s="8"/>
      <c r="I179" s="8"/>
      <c r="J179" s="8"/>
      <c r="K179" s="8"/>
      <c r="L179" s="8"/>
      <c r="M179" s="8"/>
      <c r="N179" s="8"/>
      <c r="O179" s="8"/>
      <c r="P179" s="8"/>
      <c r="Q179" s="8"/>
      <c r="R179" s="8"/>
      <c r="S179" s="8"/>
      <c r="T179" s="8"/>
      <c r="U179" s="8"/>
      <c r="V179" s="8"/>
      <c r="W179" s="8"/>
      <c r="X179" s="8"/>
      <c r="Y179" s="8"/>
      <c r="Z179" s="8"/>
    </row>
    <row r="180" spans="1:26" ht="12.75" customHeight="1" x14ac:dyDescent="0.25">
      <c r="A180" s="8"/>
      <c r="B180" s="31"/>
      <c r="C180" s="32"/>
      <c r="D180" s="32"/>
      <c r="E180" s="32"/>
      <c r="F180" s="32"/>
      <c r="G180" s="8"/>
      <c r="H180" s="8"/>
      <c r="I180" s="8"/>
      <c r="J180" s="8"/>
      <c r="K180" s="8"/>
      <c r="L180" s="8"/>
      <c r="M180" s="8"/>
      <c r="N180" s="8"/>
      <c r="O180" s="8"/>
      <c r="P180" s="8"/>
      <c r="Q180" s="8"/>
      <c r="R180" s="8"/>
      <c r="S180" s="8"/>
      <c r="T180" s="8"/>
      <c r="U180" s="8"/>
      <c r="V180" s="8"/>
      <c r="W180" s="8"/>
      <c r="X180" s="8"/>
      <c r="Y180" s="8"/>
      <c r="Z180" s="8"/>
    </row>
    <row r="181" spans="1:26" ht="12.75" customHeight="1" x14ac:dyDescent="0.25">
      <c r="A181" s="8"/>
      <c r="B181" s="31"/>
      <c r="C181" s="32"/>
      <c r="D181" s="32"/>
      <c r="E181" s="32"/>
      <c r="F181" s="32"/>
      <c r="G181" s="8"/>
      <c r="H181" s="8"/>
      <c r="I181" s="8"/>
      <c r="J181" s="8"/>
      <c r="K181" s="8"/>
      <c r="L181" s="8"/>
      <c r="M181" s="8"/>
      <c r="N181" s="8"/>
      <c r="O181" s="8"/>
      <c r="P181" s="8"/>
      <c r="Q181" s="8"/>
      <c r="R181" s="8"/>
      <c r="S181" s="8"/>
      <c r="T181" s="8"/>
      <c r="U181" s="8"/>
      <c r="V181" s="8"/>
      <c r="W181" s="8"/>
      <c r="X181" s="8"/>
      <c r="Y181" s="8"/>
      <c r="Z181" s="8"/>
    </row>
    <row r="182" spans="1:26" ht="12.75" customHeight="1" x14ac:dyDescent="0.25">
      <c r="A182" s="8"/>
      <c r="B182" s="31"/>
      <c r="C182" s="32"/>
      <c r="D182" s="32"/>
      <c r="E182" s="32"/>
      <c r="F182" s="32"/>
      <c r="G182" s="8"/>
      <c r="H182" s="8"/>
      <c r="I182" s="8"/>
      <c r="J182" s="8"/>
      <c r="K182" s="8"/>
      <c r="L182" s="8"/>
      <c r="M182" s="8"/>
      <c r="N182" s="8"/>
      <c r="O182" s="8"/>
      <c r="P182" s="8"/>
      <c r="Q182" s="8"/>
      <c r="R182" s="8"/>
      <c r="S182" s="8"/>
      <c r="T182" s="8"/>
      <c r="U182" s="8"/>
      <c r="V182" s="8"/>
      <c r="W182" s="8"/>
      <c r="X182" s="8"/>
      <c r="Y182" s="8"/>
      <c r="Z182" s="8"/>
    </row>
    <row r="183" spans="1:26" ht="12.75" customHeight="1" x14ac:dyDescent="0.25">
      <c r="A183" s="8"/>
      <c r="B183" s="31"/>
      <c r="C183" s="32"/>
      <c r="D183" s="32"/>
      <c r="E183" s="32"/>
      <c r="F183" s="32"/>
      <c r="G183" s="8"/>
      <c r="H183" s="8"/>
      <c r="I183" s="8"/>
      <c r="J183" s="8"/>
      <c r="K183" s="8"/>
      <c r="L183" s="8"/>
      <c r="M183" s="8"/>
      <c r="N183" s="8"/>
      <c r="O183" s="8"/>
      <c r="P183" s="8"/>
      <c r="Q183" s="8"/>
      <c r="R183" s="8"/>
      <c r="S183" s="8"/>
      <c r="T183" s="8"/>
      <c r="U183" s="8"/>
      <c r="V183" s="8"/>
      <c r="W183" s="8"/>
      <c r="X183" s="8"/>
      <c r="Y183" s="8"/>
      <c r="Z183" s="8"/>
    </row>
    <row r="184" spans="1:26" ht="12.75" customHeight="1" x14ac:dyDescent="0.25">
      <c r="A184" s="8"/>
      <c r="B184" s="31"/>
      <c r="C184" s="32"/>
      <c r="D184" s="32"/>
      <c r="E184" s="32"/>
      <c r="F184" s="32"/>
      <c r="G184" s="8"/>
      <c r="H184" s="8"/>
      <c r="I184" s="8"/>
      <c r="J184" s="8"/>
      <c r="K184" s="8"/>
      <c r="L184" s="8"/>
      <c r="M184" s="8"/>
      <c r="N184" s="8"/>
      <c r="O184" s="8"/>
      <c r="P184" s="8"/>
      <c r="Q184" s="8"/>
      <c r="R184" s="8"/>
      <c r="S184" s="8"/>
      <c r="T184" s="8"/>
      <c r="U184" s="8"/>
      <c r="V184" s="8"/>
      <c r="W184" s="8"/>
      <c r="X184" s="8"/>
      <c r="Y184" s="8"/>
      <c r="Z184" s="8"/>
    </row>
    <row r="185" spans="1:26" ht="12.75" customHeight="1" x14ac:dyDescent="0.25">
      <c r="A185" s="8"/>
      <c r="B185" s="31"/>
      <c r="C185" s="32"/>
      <c r="D185" s="32"/>
      <c r="E185" s="32"/>
      <c r="F185" s="32"/>
      <c r="G185" s="8"/>
      <c r="H185" s="8"/>
      <c r="I185" s="8"/>
      <c r="J185" s="8"/>
      <c r="K185" s="8"/>
      <c r="L185" s="8"/>
      <c r="M185" s="8"/>
      <c r="N185" s="8"/>
      <c r="O185" s="8"/>
      <c r="P185" s="8"/>
      <c r="Q185" s="8"/>
      <c r="R185" s="8"/>
      <c r="S185" s="8"/>
      <c r="T185" s="8"/>
      <c r="U185" s="8"/>
      <c r="V185" s="8"/>
      <c r="W185" s="8"/>
      <c r="X185" s="8"/>
      <c r="Y185" s="8"/>
      <c r="Z185" s="8"/>
    </row>
    <row r="186" spans="1:26" ht="12.75" customHeight="1" x14ac:dyDescent="0.25">
      <c r="A186" s="8"/>
      <c r="B186" s="31"/>
      <c r="C186" s="32"/>
      <c r="D186" s="32"/>
      <c r="E186" s="32"/>
      <c r="F186" s="32"/>
      <c r="G186" s="8"/>
      <c r="H186" s="8"/>
      <c r="I186" s="8"/>
      <c r="J186" s="8"/>
      <c r="K186" s="8"/>
      <c r="L186" s="8"/>
      <c r="M186" s="8"/>
      <c r="N186" s="8"/>
      <c r="O186" s="8"/>
      <c r="P186" s="8"/>
      <c r="Q186" s="8"/>
      <c r="R186" s="8"/>
      <c r="S186" s="8"/>
      <c r="T186" s="8"/>
      <c r="U186" s="8"/>
      <c r="V186" s="8"/>
      <c r="W186" s="8"/>
      <c r="X186" s="8"/>
      <c r="Y186" s="8"/>
      <c r="Z186" s="8"/>
    </row>
    <row r="187" spans="1:26" ht="12.75" customHeight="1" x14ac:dyDescent="0.25">
      <c r="A187" s="8"/>
      <c r="B187" s="31"/>
      <c r="C187" s="32"/>
      <c r="D187" s="32"/>
      <c r="E187" s="32"/>
      <c r="F187" s="32"/>
      <c r="G187" s="8"/>
      <c r="H187" s="8"/>
      <c r="I187" s="8"/>
      <c r="J187" s="8"/>
      <c r="K187" s="8"/>
      <c r="L187" s="8"/>
      <c r="M187" s="8"/>
      <c r="N187" s="8"/>
      <c r="O187" s="8"/>
      <c r="P187" s="8"/>
      <c r="Q187" s="8"/>
      <c r="R187" s="8"/>
      <c r="S187" s="8"/>
      <c r="T187" s="8"/>
      <c r="U187" s="8"/>
      <c r="V187" s="8"/>
      <c r="W187" s="8"/>
      <c r="X187" s="8"/>
      <c r="Y187" s="8"/>
      <c r="Z187" s="8"/>
    </row>
    <row r="188" spans="1:26" ht="12.75" customHeight="1" x14ac:dyDescent="0.25">
      <c r="A188" s="8"/>
      <c r="B188" s="31"/>
      <c r="C188" s="32"/>
      <c r="D188" s="32"/>
      <c r="E188" s="32"/>
      <c r="F188" s="32"/>
      <c r="G188" s="8"/>
      <c r="H188" s="8"/>
      <c r="I188" s="8"/>
      <c r="J188" s="8"/>
      <c r="K188" s="8"/>
      <c r="L188" s="8"/>
      <c r="M188" s="8"/>
      <c r="N188" s="8"/>
      <c r="O188" s="8"/>
      <c r="P188" s="8"/>
      <c r="Q188" s="8"/>
      <c r="R188" s="8"/>
      <c r="S188" s="8"/>
      <c r="T188" s="8"/>
      <c r="U188" s="8"/>
      <c r="V188" s="8"/>
      <c r="W188" s="8"/>
      <c r="X188" s="8"/>
      <c r="Y188" s="8"/>
      <c r="Z188" s="8"/>
    </row>
    <row r="189" spans="1:26" ht="12.75" customHeight="1" x14ac:dyDescent="0.25">
      <c r="A189" s="8"/>
      <c r="B189" s="31"/>
      <c r="C189" s="32"/>
      <c r="D189" s="32"/>
      <c r="E189" s="32"/>
      <c r="F189" s="32"/>
      <c r="G189" s="8"/>
      <c r="H189" s="8"/>
      <c r="I189" s="8"/>
      <c r="J189" s="8"/>
      <c r="K189" s="8"/>
      <c r="L189" s="8"/>
      <c r="M189" s="8"/>
      <c r="N189" s="8"/>
      <c r="O189" s="8"/>
      <c r="P189" s="8"/>
      <c r="Q189" s="8"/>
      <c r="R189" s="8"/>
      <c r="S189" s="8"/>
      <c r="T189" s="8"/>
      <c r="U189" s="8"/>
      <c r="V189" s="8"/>
      <c r="W189" s="8"/>
      <c r="X189" s="8"/>
      <c r="Y189" s="8"/>
      <c r="Z189" s="8"/>
    </row>
    <row r="190" spans="1:26" ht="12.75" customHeight="1" x14ac:dyDescent="0.25">
      <c r="A190" s="8"/>
      <c r="B190" s="31"/>
      <c r="C190" s="32"/>
      <c r="D190" s="32"/>
      <c r="E190" s="32"/>
      <c r="F190" s="32"/>
      <c r="G190" s="8"/>
      <c r="H190" s="8"/>
      <c r="I190" s="8"/>
      <c r="J190" s="8"/>
      <c r="K190" s="8"/>
      <c r="L190" s="8"/>
      <c r="M190" s="8"/>
      <c r="N190" s="8"/>
      <c r="O190" s="8"/>
      <c r="P190" s="8"/>
      <c r="Q190" s="8"/>
      <c r="R190" s="8"/>
      <c r="S190" s="8"/>
      <c r="T190" s="8"/>
      <c r="U190" s="8"/>
      <c r="V190" s="8"/>
      <c r="W190" s="8"/>
      <c r="X190" s="8"/>
      <c r="Y190" s="8"/>
      <c r="Z190" s="8"/>
    </row>
    <row r="191" spans="1:26" ht="12.75" customHeight="1" x14ac:dyDescent="0.25">
      <c r="A191" s="8"/>
      <c r="B191" s="31"/>
      <c r="C191" s="32"/>
      <c r="D191" s="32"/>
      <c r="E191" s="32"/>
      <c r="F191" s="32"/>
      <c r="G191" s="8"/>
      <c r="H191" s="8"/>
      <c r="I191" s="8"/>
      <c r="J191" s="8"/>
      <c r="K191" s="8"/>
      <c r="L191" s="8"/>
      <c r="M191" s="8"/>
      <c r="N191" s="8"/>
      <c r="O191" s="8"/>
      <c r="P191" s="8"/>
      <c r="Q191" s="8"/>
      <c r="R191" s="8"/>
      <c r="S191" s="8"/>
      <c r="T191" s="8"/>
      <c r="U191" s="8"/>
      <c r="V191" s="8"/>
      <c r="W191" s="8"/>
      <c r="X191" s="8"/>
      <c r="Y191" s="8"/>
      <c r="Z191" s="8"/>
    </row>
    <row r="192" spans="1:26" ht="12.75" customHeight="1" x14ac:dyDescent="0.25">
      <c r="A192" s="8"/>
      <c r="B192" s="31"/>
      <c r="C192" s="32"/>
      <c r="D192" s="32"/>
      <c r="E192" s="32"/>
      <c r="F192" s="32"/>
      <c r="G192" s="8"/>
      <c r="H192" s="8"/>
      <c r="I192" s="8"/>
      <c r="J192" s="8"/>
      <c r="K192" s="8"/>
      <c r="L192" s="8"/>
      <c r="M192" s="8"/>
      <c r="N192" s="8"/>
      <c r="O192" s="8"/>
      <c r="P192" s="8"/>
      <c r="Q192" s="8"/>
      <c r="R192" s="8"/>
      <c r="S192" s="8"/>
      <c r="T192" s="8"/>
      <c r="U192" s="8"/>
      <c r="V192" s="8"/>
      <c r="W192" s="8"/>
      <c r="X192" s="8"/>
      <c r="Y192" s="8"/>
      <c r="Z192" s="8"/>
    </row>
    <row r="193" spans="1:26" ht="12.75" customHeight="1" x14ac:dyDescent="0.25">
      <c r="A193" s="8"/>
      <c r="B193" s="31"/>
      <c r="C193" s="32"/>
      <c r="D193" s="32"/>
      <c r="E193" s="32"/>
      <c r="F193" s="32"/>
      <c r="G193" s="8"/>
      <c r="H193" s="8"/>
      <c r="I193" s="8"/>
      <c r="J193" s="8"/>
      <c r="K193" s="8"/>
      <c r="L193" s="8"/>
      <c r="M193" s="8"/>
      <c r="N193" s="8"/>
      <c r="O193" s="8"/>
      <c r="P193" s="8"/>
      <c r="Q193" s="8"/>
      <c r="R193" s="8"/>
      <c r="S193" s="8"/>
      <c r="T193" s="8"/>
      <c r="U193" s="8"/>
      <c r="V193" s="8"/>
      <c r="W193" s="8"/>
      <c r="X193" s="8"/>
      <c r="Y193" s="8"/>
      <c r="Z193" s="8"/>
    </row>
    <row r="194" spans="1:26" ht="12.75" customHeight="1" x14ac:dyDescent="0.25">
      <c r="A194" s="8"/>
      <c r="B194" s="31"/>
      <c r="C194" s="32"/>
      <c r="D194" s="32"/>
      <c r="E194" s="32"/>
      <c r="F194" s="32"/>
      <c r="G194" s="8"/>
      <c r="H194" s="8"/>
      <c r="I194" s="8"/>
      <c r="J194" s="8"/>
      <c r="K194" s="8"/>
      <c r="L194" s="8"/>
      <c r="M194" s="8"/>
      <c r="N194" s="8"/>
      <c r="O194" s="8"/>
      <c r="P194" s="8"/>
      <c r="Q194" s="8"/>
      <c r="R194" s="8"/>
      <c r="S194" s="8"/>
      <c r="T194" s="8"/>
      <c r="U194" s="8"/>
      <c r="V194" s="8"/>
      <c r="W194" s="8"/>
      <c r="X194" s="8"/>
      <c r="Y194" s="8"/>
      <c r="Z194" s="8"/>
    </row>
    <row r="195" spans="1:26" ht="12.75" customHeight="1" x14ac:dyDescent="0.25">
      <c r="A195" s="8"/>
      <c r="B195" s="31"/>
      <c r="C195" s="32"/>
      <c r="D195" s="32"/>
      <c r="E195" s="32"/>
      <c r="F195" s="32"/>
      <c r="G195" s="8"/>
      <c r="H195" s="8"/>
      <c r="I195" s="8"/>
      <c r="J195" s="8"/>
      <c r="K195" s="8"/>
      <c r="L195" s="8"/>
      <c r="M195" s="8"/>
      <c r="N195" s="8"/>
      <c r="O195" s="8"/>
      <c r="P195" s="8"/>
      <c r="Q195" s="8"/>
      <c r="R195" s="8"/>
      <c r="S195" s="8"/>
      <c r="T195" s="8"/>
      <c r="U195" s="8"/>
      <c r="V195" s="8"/>
      <c r="W195" s="8"/>
      <c r="X195" s="8"/>
      <c r="Y195" s="8"/>
      <c r="Z195" s="8"/>
    </row>
    <row r="196" spans="1:26" ht="12.75" customHeight="1" x14ac:dyDescent="0.25">
      <c r="A196" s="8"/>
      <c r="B196" s="31"/>
      <c r="C196" s="32"/>
      <c r="D196" s="32"/>
      <c r="E196" s="32"/>
      <c r="F196" s="32"/>
      <c r="G196" s="8"/>
      <c r="H196" s="8"/>
      <c r="I196" s="8"/>
      <c r="J196" s="8"/>
      <c r="K196" s="8"/>
      <c r="L196" s="8"/>
      <c r="M196" s="8"/>
      <c r="N196" s="8"/>
      <c r="O196" s="8"/>
      <c r="P196" s="8"/>
      <c r="Q196" s="8"/>
      <c r="R196" s="8"/>
      <c r="S196" s="8"/>
      <c r="T196" s="8"/>
      <c r="U196" s="8"/>
      <c r="V196" s="8"/>
      <c r="W196" s="8"/>
      <c r="X196" s="8"/>
      <c r="Y196" s="8"/>
      <c r="Z196" s="8"/>
    </row>
    <row r="197" spans="1:26" ht="12.75" customHeight="1" x14ac:dyDescent="0.25">
      <c r="A197" s="8"/>
      <c r="B197" s="31"/>
      <c r="C197" s="32"/>
      <c r="D197" s="32"/>
      <c r="E197" s="32"/>
      <c r="F197" s="32"/>
      <c r="G197" s="8"/>
      <c r="H197" s="8"/>
      <c r="I197" s="8"/>
      <c r="J197" s="8"/>
      <c r="K197" s="8"/>
      <c r="L197" s="8"/>
      <c r="M197" s="8"/>
      <c r="N197" s="8"/>
      <c r="O197" s="8"/>
      <c r="P197" s="8"/>
      <c r="Q197" s="8"/>
      <c r="R197" s="8"/>
      <c r="S197" s="8"/>
      <c r="T197" s="8"/>
      <c r="U197" s="8"/>
      <c r="V197" s="8"/>
      <c r="W197" s="8"/>
      <c r="X197" s="8"/>
      <c r="Y197" s="8"/>
      <c r="Z197" s="8"/>
    </row>
    <row r="198" spans="1:26" ht="12.75" customHeight="1" x14ac:dyDescent="0.25">
      <c r="A198" s="8"/>
      <c r="B198" s="31"/>
      <c r="C198" s="32"/>
      <c r="D198" s="32"/>
      <c r="E198" s="32"/>
      <c r="F198" s="32"/>
      <c r="G198" s="8"/>
      <c r="H198" s="8"/>
      <c r="I198" s="8"/>
      <c r="J198" s="8"/>
      <c r="K198" s="8"/>
      <c r="L198" s="8"/>
      <c r="M198" s="8"/>
      <c r="N198" s="8"/>
      <c r="O198" s="8"/>
      <c r="P198" s="8"/>
      <c r="Q198" s="8"/>
      <c r="R198" s="8"/>
      <c r="S198" s="8"/>
      <c r="T198" s="8"/>
      <c r="U198" s="8"/>
      <c r="V198" s="8"/>
      <c r="W198" s="8"/>
      <c r="X198" s="8"/>
      <c r="Y198" s="8"/>
      <c r="Z198" s="8"/>
    </row>
    <row r="199" spans="1:26" ht="12.75" customHeight="1" x14ac:dyDescent="0.25">
      <c r="A199" s="8"/>
      <c r="B199" s="31"/>
      <c r="C199" s="32"/>
      <c r="D199" s="32"/>
      <c r="E199" s="32"/>
      <c r="F199" s="32"/>
      <c r="G199" s="8"/>
      <c r="H199" s="8"/>
      <c r="I199" s="8"/>
      <c r="J199" s="8"/>
      <c r="K199" s="8"/>
      <c r="L199" s="8"/>
      <c r="M199" s="8"/>
      <c r="N199" s="8"/>
      <c r="O199" s="8"/>
      <c r="P199" s="8"/>
      <c r="Q199" s="8"/>
      <c r="R199" s="8"/>
      <c r="S199" s="8"/>
      <c r="T199" s="8"/>
      <c r="U199" s="8"/>
      <c r="V199" s="8"/>
      <c r="W199" s="8"/>
      <c r="X199" s="8"/>
      <c r="Y199" s="8"/>
      <c r="Z199" s="8"/>
    </row>
    <row r="200" spans="1:26" ht="12.75" customHeight="1" x14ac:dyDescent="0.25">
      <c r="A200" s="8"/>
      <c r="B200" s="31"/>
      <c r="C200" s="32"/>
      <c r="D200" s="32"/>
      <c r="E200" s="32"/>
      <c r="F200" s="32"/>
      <c r="G200" s="8"/>
      <c r="H200" s="8"/>
      <c r="I200" s="8"/>
      <c r="J200" s="8"/>
      <c r="K200" s="8"/>
      <c r="L200" s="8"/>
      <c r="M200" s="8"/>
      <c r="N200" s="8"/>
      <c r="O200" s="8"/>
      <c r="P200" s="8"/>
      <c r="Q200" s="8"/>
      <c r="R200" s="8"/>
      <c r="S200" s="8"/>
      <c r="T200" s="8"/>
      <c r="U200" s="8"/>
      <c r="V200" s="8"/>
      <c r="W200" s="8"/>
      <c r="X200" s="8"/>
      <c r="Y200" s="8"/>
      <c r="Z200" s="8"/>
    </row>
    <row r="201" spans="1:26" ht="12.75" customHeight="1" x14ac:dyDescent="0.25">
      <c r="A201" s="8"/>
      <c r="B201" s="31"/>
      <c r="C201" s="32"/>
      <c r="D201" s="32"/>
      <c r="E201" s="32"/>
      <c r="F201" s="32"/>
      <c r="G201" s="8"/>
      <c r="H201" s="8"/>
      <c r="I201" s="8"/>
      <c r="J201" s="8"/>
      <c r="K201" s="8"/>
      <c r="L201" s="8"/>
      <c r="M201" s="8"/>
      <c r="N201" s="8"/>
      <c r="O201" s="8"/>
      <c r="P201" s="8"/>
      <c r="Q201" s="8"/>
      <c r="R201" s="8"/>
      <c r="S201" s="8"/>
      <c r="T201" s="8"/>
      <c r="U201" s="8"/>
      <c r="V201" s="8"/>
      <c r="W201" s="8"/>
      <c r="X201" s="8"/>
      <c r="Y201" s="8"/>
      <c r="Z201" s="8"/>
    </row>
    <row r="202" spans="1:26" ht="12.75" customHeight="1" x14ac:dyDescent="0.25">
      <c r="A202" s="8"/>
      <c r="B202" s="31"/>
      <c r="C202" s="32"/>
      <c r="D202" s="32"/>
      <c r="E202" s="32"/>
      <c r="F202" s="32"/>
      <c r="G202" s="8"/>
      <c r="H202" s="8"/>
      <c r="I202" s="8"/>
      <c r="J202" s="8"/>
      <c r="K202" s="8"/>
      <c r="L202" s="8"/>
      <c r="M202" s="8"/>
      <c r="N202" s="8"/>
      <c r="O202" s="8"/>
      <c r="P202" s="8"/>
      <c r="Q202" s="8"/>
      <c r="R202" s="8"/>
      <c r="S202" s="8"/>
      <c r="T202" s="8"/>
      <c r="U202" s="8"/>
      <c r="V202" s="8"/>
      <c r="W202" s="8"/>
      <c r="X202" s="8"/>
      <c r="Y202" s="8"/>
      <c r="Z202" s="8"/>
    </row>
    <row r="203" spans="1:26" ht="12.75" customHeight="1" x14ac:dyDescent="0.25">
      <c r="A203" s="8"/>
      <c r="B203" s="31"/>
      <c r="C203" s="32"/>
      <c r="D203" s="32"/>
      <c r="E203" s="32"/>
      <c r="F203" s="32"/>
      <c r="G203" s="8"/>
      <c r="H203" s="8"/>
      <c r="I203" s="8"/>
      <c r="J203" s="8"/>
      <c r="K203" s="8"/>
      <c r="L203" s="8"/>
      <c r="M203" s="8"/>
      <c r="N203" s="8"/>
      <c r="O203" s="8"/>
      <c r="P203" s="8"/>
      <c r="Q203" s="8"/>
      <c r="R203" s="8"/>
      <c r="S203" s="8"/>
      <c r="T203" s="8"/>
      <c r="U203" s="8"/>
      <c r="V203" s="8"/>
      <c r="W203" s="8"/>
      <c r="X203" s="8"/>
      <c r="Y203" s="8"/>
      <c r="Z203" s="8"/>
    </row>
    <row r="204" spans="1:26" ht="12.75" customHeight="1" x14ac:dyDescent="0.25">
      <c r="A204" s="8"/>
      <c r="B204" s="31"/>
      <c r="C204" s="32"/>
      <c r="D204" s="32"/>
      <c r="E204" s="32"/>
      <c r="F204" s="32"/>
      <c r="G204" s="8"/>
      <c r="H204" s="8"/>
      <c r="I204" s="8"/>
      <c r="J204" s="8"/>
      <c r="K204" s="8"/>
      <c r="L204" s="8"/>
      <c r="M204" s="8"/>
      <c r="N204" s="8"/>
      <c r="O204" s="8"/>
      <c r="P204" s="8"/>
      <c r="Q204" s="8"/>
      <c r="R204" s="8"/>
      <c r="S204" s="8"/>
      <c r="T204" s="8"/>
      <c r="U204" s="8"/>
      <c r="V204" s="8"/>
      <c r="W204" s="8"/>
      <c r="X204" s="8"/>
      <c r="Y204" s="8"/>
      <c r="Z204" s="8"/>
    </row>
    <row r="205" spans="1:26" ht="12.75" customHeight="1" x14ac:dyDescent="0.25">
      <c r="A205" s="8"/>
      <c r="B205" s="31"/>
      <c r="C205" s="32"/>
      <c r="D205" s="32"/>
      <c r="E205" s="32"/>
      <c r="F205" s="32"/>
      <c r="G205" s="8"/>
      <c r="H205" s="8"/>
      <c r="I205" s="8"/>
      <c r="J205" s="8"/>
      <c r="K205" s="8"/>
      <c r="L205" s="8"/>
      <c r="M205" s="8"/>
      <c r="N205" s="8"/>
      <c r="O205" s="8"/>
      <c r="P205" s="8"/>
      <c r="Q205" s="8"/>
      <c r="R205" s="8"/>
      <c r="S205" s="8"/>
      <c r="T205" s="8"/>
      <c r="U205" s="8"/>
      <c r="V205" s="8"/>
      <c r="W205" s="8"/>
      <c r="X205" s="8"/>
      <c r="Y205" s="8"/>
      <c r="Z205" s="8"/>
    </row>
    <row r="206" spans="1:26" ht="12.75" customHeight="1" x14ac:dyDescent="0.25">
      <c r="A206" s="8"/>
      <c r="B206" s="31"/>
      <c r="C206" s="32"/>
      <c r="D206" s="32"/>
      <c r="E206" s="32"/>
      <c r="F206" s="32"/>
      <c r="G206" s="8"/>
      <c r="H206" s="8"/>
      <c r="I206" s="8"/>
      <c r="J206" s="8"/>
      <c r="K206" s="8"/>
      <c r="L206" s="8"/>
      <c r="M206" s="8"/>
      <c r="N206" s="8"/>
      <c r="O206" s="8"/>
      <c r="P206" s="8"/>
      <c r="Q206" s="8"/>
      <c r="R206" s="8"/>
      <c r="S206" s="8"/>
      <c r="T206" s="8"/>
      <c r="U206" s="8"/>
      <c r="V206" s="8"/>
      <c r="W206" s="8"/>
      <c r="X206" s="8"/>
      <c r="Y206" s="8"/>
      <c r="Z206" s="8"/>
    </row>
    <row r="207" spans="1:26" ht="12.75" customHeight="1" x14ac:dyDescent="0.25">
      <c r="A207" s="8"/>
      <c r="B207" s="31"/>
      <c r="C207" s="32"/>
      <c r="D207" s="32"/>
      <c r="E207" s="32"/>
      <c r="F207" s="32"/>
      <c r="G207" s="8"/>
      <c r="H207" s="8"/>
      <c r="I207" s="8"/>
      <c r="J207" s="8"/>
      <c r="K207" s="8"/>
      <c r="L207" s="8"/>
      <c r="M207" s="8"/>
      <c r="N207" s="8"/>
      <c r="O207" s="8"/>
      <c r="P207" s="8"/>
      <c r="Q207" s="8"/>
      <c r="R207" s="8"/>
      <c r="S207" s="8"/>
      <c r="T207" s="8"/>
      <c r="U207" s="8"/>
      <c r="V207" s="8"/>
      <c r="W207" s="8"/>
      <c r="X207" s="8"/>
      <c r="Y207" s="8"/>
      <c r="Z207" s="8"/>
    </row>
    <row r="208" spans="1:26" ht="12.75" customHeight="1" x14ac:dyDescent="0.25">
      <c r="A208" s="8"/>
      <c r="B208" s="31"/>
      <c r="C208" s="32"/>
      <c r="D208" s="32"/>
      <c r="E208" s="32"/>
      <c r="F208" s="32"/>
      <c r="G208" s="8"/>
      <c r="H208" s="8"/>
      <c r="I208" s="8"/>
      <c r="J208" s="8"/>
      <c r="K208" s="8"/>
      <c r="L208" s="8"/>
      <c r="M208" s="8"/>
      <c r="N208" s="8"/>
      <c r="O208" s="8"/>
      <c r="P208" s="8"/>
      <c r="Q208" s="8"/>
      <c r="R208" s="8"/>
      <c r="S208" s="8"/>
      <c r="T208" s="8"/>
      <c r="U208" s="8"/>
      <c r="V208" s="8"/>
      <c r="W208" s="8"/>
      <c r="X208" s="8"/>
      <c r="Y208" s="8"/>
      <c r="Z208" s="8"/>
    </row>
    <row r="209" spans="1:26" ht="12.75" customHeight="1" x14ac:dyDescent="0.25">
      <c r="A209" s="8"/>
      <c r="B209" s="31"/>
      <c r="C209" s="32"/>
      <c r="D209" s="32"/>
      <c r="E209" s="32"/>
      <c r="F209" s="32"/>
      <c r="G209" s="8"/>
      <c r="H209" s="8"/>
      <c r="I209" s="8"/>
      <c r="J209" s="8"/>
      <c r="K209" s="8"/>
      <c r="L209" s="8"/>
      <c r="M209" s="8"/>
      <c r="N209" s="8"/>
      <c r="O209" s="8"/>
      <c r="P209" s="8"/>
      <c r="Q209" s="8"/>
      <c r="R209" s="8"/>
      <c r="S209" s="8"/>
      <c r="T209" s="8"/>
      <c r="U209" s="8"/>
      <c r="V209" s="8"/>
      <c r="W209" s="8"/>
      <c r="X209" s="8"/>
      <c r="Y209" s="8"/>
      <c r="Z209" s="8"/>
    </row>
    <row r="210" spans="1:26" ht="12.75" customHeight="1" x14ac:dyDescent="0.25">
      <c r="A210" s="8"/>
      <c r="B210" s="31"/>
      <c r="C210" s="32"/>
      <c r="D210" s="32"/>
      <c r="E210" s="32"/>
      <c r="F210" s="32"/>
      <c r="G210" s="8"/>
      <c r="H210" s="8"/>
      <c r="I210" s="8"/>
      <c r="J210" s="8"/>
      <c r="K210" s="8"/>
      <c r="L210" s="8"/>
      <c r="M210" s="8"/>
      <c r="N210" s="8"/>
      <c r="O210" s="8"/>
      <c r="P210" s="8"/>
      <c r="Q210" s="8"/>
      <c r="R210" s="8"/>
      <c r="S210" s="8"/>
      <c r="T210" s="8"/>
      <c r="U210" s="8"/>
      <c r="V210" s="8"/>
      <c r="W210" s="8"/>
      <c r="X210" s="8"/>
      <c r="Y210" s="8"/>
      <c r="Z210" s="8"/>
    </row>
    <row r="211" spans="1:26" ht="12.75" customHeight="1" x14ac:dyDescent="0.25">
      <c r="A211" s="8"/>
      <c r="B211" s="31"/>
      <c r="C211" s="32"/>
      <c r="D211" s="32"/>
      <c r="E211" s="32"/>
      <c r="F211" s="32"/>
      <c r="G211" s="8"/>
      <c r="H211" s="8"/>
      <c r="I211" s="8"/>
      <c r="J211" s="8"/>
      <c r="K211" s="8"/>
      <c r="L211" s="8"/>
      <c r="M211" s="8"/>
      <c r="N211" s="8"/>
      <c r="O211" s="8"/>
      <c r="P211" s="8"/>
      <c r="Q211" s="8"/>
      <c r="R211" s="8"/>
      <c r="S211" s="8"/>
      <c r="T211" s="8"/>
      <c r="U211" s="8"/>
      <c r="V211" s="8"/>
      <c r="W211" s="8"/>
      <c r="X211" s="8"/>
      <c r="Y211" s="8"/>
      <c r="Z211" s="8"/>
    </row>
    <row r="212" spans="1:26" ht="12.75" customHeight="1" x14ac:dyDescent="0.25">
      <c r="A212" s="8"/>
      <c r="B212" s="31"/>
      <c r="C212" s="32"/>
      <c r="D212" s="32"/>
      <c r="E212" s="32"/>
      <c r="F212" s="32"/>
      <c r="G212" s="8"/>
      <c r="H212" s="8"/>
      <c r="I212" s="8"/>
      <c r="J212" s="8"/>
      <c r="K212" s="8"/>
      <c r="L212" s="8"/>
      <c r="M212" s="8"/>
      <c r="N212" s="8"/>
      <c r="O212" s="8"/>
      <c r="P212" s="8"/>
      <c r="Q212" s="8"/>
      <c r="R212" s="8"/>
      <c r="S212" s="8"/>
      <c r="T212" s="8"/>
      <c r="U212" s="8"/>
      <c r="V212" s="8"/>
      <c r="W212" s="8"/>
      <c r="X212" s="8"/>
      <c r="Y212" s="8"/>
      <c r="Z212" s="8"/>
    </row>
    <row r="213" spans="1:26" ht="12.75" customHeight="1" x14ac:dyDescent="0.25">
      <c r="A213" s="8"/>
      <c r="B213" s="31"/>
      <c r="C213" s="32"/>
      <c r="D213" s="32"/>
      <c r="E213" s="32"/>
      <c r="F213" s="32"/>
      <c r="G213" s="8"/>
      <c r="H213" s="8"/>
      <c r="I213" s="8"/>
      <c r="J213" s="8"/>
      <c r="K213" s="8"/>
      <c r="L213" s="8"/>
      <c r="M213" s="8"/>
      <c r="N213" s="8"/>
      <c r="O213" s="8"/>
      <c r="P213" s="8"/>
      <c r="Q213" s="8"/>
      <c r="R213" s="8"/>
      <c r="S213" s="8"/>
      <c r="T213" s="8"/>
      <c r="U213" s="8"/>
      <c r="V213" s="8"/>
      <c r="W213" s="8"/>
      <c r="X213" s="8"/>
      <c r="Y213" s="8"/>
      <c r="Z213" s="8"/>
    </row>
    <row r="214" spans="1:26" ht="12.75" customHeight="1" x14ac:dyDescent="0.25">
      <c r="A214" s="8"/>
      <c r="B214" s="31"/>
      <c r="C214" s="32"/>
      <c r="D214" s="32"/>
      <c r="E214" s="32"/>
      <c r="F214" s="32"/>
      <c r="G214" s="8"/>
      <c r="H214" s="8"/>
      <c r="I214" s="8"/>
      <c r="J214" s="8"/>
      <c r="K214" s="8"/>
      <c r="L214" s="8"/>
      <c r="M214" s="8"/>
      <c r="N214" s="8"/>
      <c r="O214" s="8"/>
      <c r="P214" s="8"/>
      <c r="Q214" s="8"/>
      <c r="R214" s="8"/>
      <c r="S214" s="8"/>
      <c r="T214" s="8"/>
      <c r="U214" s="8"/>
      <c r="V214" s="8"/>
      <c r="W214" s="8"/>
      <c r="X214" s="8"/>
      <c r="Y214" s="8"/>
      <c r="Z214" s="8"/>
    </row>
    <row r="215" spans="1:26" ht="12.75" customHeight="1" x14ac:dyDescent="0.25">
      <c r="A215" s="8"/>
      <c r="B215" s="31"/>
      <c r="C215" s="32"/>
      <c r="D215" s="32"/>
      <c r="E215" s="32"/>
      <c r="F215" s="32"/>
      <c r="G215" s="8"/>
      <c r="H215" s="8"/>
      <c r="I215" s="8"/>
      <c r="J215" s="8"/>
      <c r="K215" s="8"/>
      <c r="L215" s="8"/>
      <c r="M215" s="8"/>
      <c r="N215" s="8"/>
      <c r="O215" s="8"/>
      <c r="P215" s="8"/>
      <c r="Q215" s="8"/>
      <c r="R215" s="8"/>
      <c r="S215" s="8"/>
      <c r="T215" s="8"/>
      <c r="U215" s="8"/>
      <c r="V215" s="8"/>
      <c r="W215" s="8"/>
      <c r="X215" s="8"/>
      <c r="Y215" s="8"/>
      <c r="Z215" s="8"/>
    </row>
    <row r="216" spans="1:26" ht="12.75" customHeight="1" x14ac:dyDescent="0.25">
      <c r="A216" s="8"/>
      <c r="B216" s="31"/>
      <c r="C216" s="32"/>
      <c r="D216" s="32"/>
      <c r="E216" s="32"/>
      <c r="F216" s="32"/>
      <c r="G216" s="8"/>
      <c r="H216" s="8"/>
      <c r="I216" s="8"/>
      <c r="J216" s="8"/>
      <c r="K216" s="8"/>
      <c r="L216" s="8"/>
      <c r="M216" s="8"/>
      <c r="N216" s="8"/>
      <c r="O216" s="8"/>
      <c r="P216" s="8"/>
      <c r="Q216" s="8"/>
      <c r="R216" s="8"/>
      <c r="S216" s="8"/>
      <c r="T216" s="8"/>
      <c r="U216" s="8"/>
      <c r="V216" s="8"/>
      <c r="W216" s="8"/>
      <c r="X216" s="8"/>
      <c r="Y216" s="8"/>
      <c r="Z216" s="8"/>
    </row>
    <row r="217" spans="1:26" ht="12.75" customHeight="1" x14ac:dyDescent="0.25">
      <c r="A217" s="8"/>
      <c r="B217" s="31"/>
      <c r="C217" s="32"/>
      <c r="D217" s="32"/>
      <c r="E217" s="32"/>
      <c r="F217" s="32"/>
      <c r="G217" s="8"/>
      <c r="H217" s="8"/>
      <c r="I217" s="8"/>
      <c r="J217" s="8"/>
      <c r="K217" s="8"/>
      <c r="L217" s="8"/>
      <c r="M217" s="8"/>
      <c r="N217" s="8"/>
      <c r="O217" s="8"/>
      <c r="P217" s="8"/>
      <c r="Q217" s="8"/>
      <c r="R217" s="8"/>
      <c r="S217" s="8"/>
      <c r="T217" s="8"/>
      <c r="U217" s="8"/>
      <c r="V217" s="8"/>
      <c r="W217" s="8"/>
      <c r="X217" s="8"/>
      <c r="Y217" s="8"/>
      <c r="Z217" s="8"/>
    </row>
    <row r="218" spans="1:26" ht="12.75" customHeight="1" x14ac:dyDescent="0.25">
      <c r="A218" s="8"/>
      <c r="B218" s="31"/>
      <c r="C218" s="32"/>
      <c r="D218" s="32"/>
      <c r="E218" s="32"/>
      <c r="F218" s="32"/>
      <c r="G218" s="8"/>
      <c r="H218" s="8"/>
      <c r="I218" s="8"/>
      <c r="J218" s="8"/>
      <c r="K218" s="8"/>
      <c r="L218" s="8"/>
      <c r="M218" s="8"/>
      <c r="N218" s="8"/>
      <c r="O218" s="8"/>
      <c r="P218" s="8"/>
      <c r="Q218" s="8"/>
      <c r="R218" s="8"/>
      <c r="S218" s="8"/>
      <c r="T218" s="8"/>
      <c r="U218" s="8"/>
      <c r="V218" s="8"/>
      <c r="W218" s="8"/>
      <c r="X218" s="8"/>
      <c r="Y218" s="8"/>
      <c r="Z218" s="8"/>
    </row>
    <row r="219" spans="1:26" ht="12.75" customHeight="1" x14ac:dyDescent="0.25">
      <c r="A219" s="8"/>
      <c r="B219" s="31"/>
      <c r="C219" s="32"/>
      <c r="D219" s="32"/>
      <c r="E219" s="32"/>
      <c r="F219" s="32"/>
      <c r="G219" s="8"/>
      <c r="H219" s="8"/>
      <c r="I219" s="8"/>
      <c r="J219" s="8"/>
      <c r="K219" s="8"/>
      <c r="L219" s="8"/>
      <c r="M219" s="8"/>
      <c r="N219" s="8"/>
      <c r="O219" s="8"/>
      <c r="P219" s="8"/>
      <c r="Q219" s="8"/>
      <c r="R219" s="8"/>
      <c r="S219" s="8"/>
      <c r="T219" s="8"/>
      <c r="U219" s="8"/>
      <c r="V219" s="8"/>
      <c r="W219" s="8"/>
      <c r="X219" s="8"/>
      <c r="Y219" s="8"/>
      <c r="Z219" s="8"/>
    </row>
    <row r="220" spans="1:26" ht="12.75" customHeight="1" x14ac:dyDescent="0.25">
      <c r="A220" s="8"/>
      <c r="B220" s="31"/>
      <c r="C220" s="32"/>
      <c r="D220" s="32"/>
      <c r="E220" s="32"/>
      <c r="F220" s="32"/>
      <c r="G220" s="8"/>
      <c r="H220" s="8"/>
      <c r="I220" s="8"/>
      <c r="J220" s="8"/>
      <c r="K220" s="8"/>
      <c r="L220" s="8"/>
      <c r="M220" s="8"/>
      <c r="N220" s="8"/>
      <c r="O220" s="8"/>
      <c r="P220" s="8"/>
      <c r="Q220" s="8"/>
      <c r="R220" s="8"/>
      <c r="S220" s="8"/>
      <c r="T220" s="8"/>
      <c r="U220" s="8"/>
      <c r="V220" s="8"/>
      <c r="W220" s="8"/>
      <c r="X220" s="8"/>
      <c r="Y220" s="8"/>
      <c r="Z220" s="8"/>
    </row>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B3:C3"/>
    <mergeCell ref="D3:F3"/>
    <mergeCell ref="B4:C4"/>
    <mergeCell ref="D4:F4"/>
    <mergeCell ref="B5:C5"/>
    <mergeCell ref="D5:F5"/>
  </mergeCells>
  <hyperlinks>
    <hyperlink ref="D9" location="Login!A1" display="Login" xr:uid="{00000000-0004-0000-0100-000000000000}"/>
    <hyperlink ref="D10" location="Search!A1" display="Search" xr:uid="{89548586-E3C4-4026-A42B-94D581AE27CC}"/>
    <hyperlink ref="D11" location="Category!A1" display="Category" xr:uid="{1C1BA59B-A8E0-41BC-BC72-A3E746ED533E}"/>
    <hyperlink ref="D12" location="Product_detail!A1" display="Product_detail" xr:uid="{479E5398-3B40-429B-A667-D6705618DF0E}"/>
    <hyperlink ref="D13" location="Register!A1" display="Register" xr:uid="{50C6DB71-8E62-4975-95F9-B48901C48CEF}"/>
    <hyperlink ref="D14" location="Order!A1" display="Order" xr:uid="{A542B876-831E-489C-B1EA-EE17AB1BFAC7}"/>
    <hyperlink ref="D15" location="Cart!A1" display="Cart" xr:uid="{EBD693A3-9E24-4868-B00F-D9E1F0DE5E69}"/>
    <hyperlink ref="D16" location="Invoice!A1" display="Invoice" xr:uid="{F9D18929-7243-471D-8261-85B712C73E6E}"/>
  </hyperlinks>
  <pageMargins left="0.7" right="0.7" top="0.75" bottom="0.75" header="0" footer="0"/>
  <pageSetup orientation="landscape"/>
  <headerFooter>
    <oddFooter>&amp;L 02ae-BM/PM/HDCV/FSOFT v2/0&amp;CInternal use&amp;R&amp;P/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6"/>
  <sheetViews>
    <sheetView topLeftCell="A2" workbookViewId="0">
      <selection activeCell="D27" sqref="D27"/>
    </sheetView>
  </sheetViews>
  <sheetFormatPr defaultColWidth="12.6640625" defaultRowHeight="15" customHeight="1" x14ac:dyDescent="0.2"/>
  <cols>
    <col min="1" max="1" width="9" customWidth="1"/>
    <col min="2" max="2" width="17.109375" customWidth="1"/>
    <col min="3" max="3" width="26.44140625" customWidth="1"/>
    <col min="4" max="4" width="10" customWidth="1"/>
    <col min="5" max="5" width="17.109375" customWidth="1"/>
    <col min="6" max="6" width="11.44140625" customWidth="1"/>
    <col min="7" max="7" width="11.109375" customWidth="1"/>
    <col min="8" max="8" width="33.109375" customWidth="1"/>
    <col min="9" max="26" width="10" customWidth="1"/>
  </cols>
  <sheetData>
    <row r="1" spans="1:26" ht="25.5" customHeight="1" x14ac:dyDescent="0.4">
      <c r="A1" s="8"/>
      <c r="B1" s="258" t="s">
        <v>51</v>
      </c>
      <c r="C1" s="259"/>
      <c r="D1" s="259"/>
      <c r="E1" s="259"/>
      <c r="F1" s="259"/>
      <c r="G1" s="259"/>
      <c r="H1" s="260"/>
      <c r="I1" s="8"/>
      <c r="J1" s="8"/>
      <c r="K1" s="8"/>
      <c r="L1" s="8"/>
      <c r="M1" s="8"/>
      <c r="N1" s="8"/>
      <c r="O1" s="8"/>
      <c r="P1" s="8"/>
      <c r="Q1" s="8"/>
      <c r="R1" s="8"/>
      <c r="S1" s="8"/>
      <c r="T1" s="8"/>
      <c r="U1" s="8"/>
      <c r="V1" s="8"/>
      <c r="W1" s="8"/>
      <c r="X1" s="8"/>
      <c r="Y1" s="8"/>
      <c r="Z1" s="8"/>
    </row>
    <row r="2" spans="1:26" ht="14.25" customHeight="1" x14ac:dyDescent="0.25">
      <c r="A2" s="95"/>
      <c r="B2" s="95"/>
      <c r="C2" s="8"/>
      <c r="D2" s="8"/>
      <c r="E2" s="8"/>
      <c r="F2" s="8"/>
      <c r="G2" s="8"/>
      <c r="H2" s="96"/>
      <c r="I2" s="8"/>
      <c r="J2" s="8"/>
      <c r="K2" s="8"/>
      <c r="L2" s="8"/>
      <c r="M2" s="8"/>
      <c r="N2" s="8"/>
      <c r="O2" s="8"/>
      <c r="P2" s="8"/>
      <c r="Q2" s="8"/>
      <c r="R2" s="8"/>
      <c r="S2" s="8"/>
      <c r="T2" s="8"/>
      <c r="U2" s="8"/>
      <c r="V2" s="8"/>
      <c r="W2" s="8"/>
      <c r="X2" s="8"/>
      <c r="Y2" s="8"/>
      <c r="Z2" s="8"/>
    </row>
    <row r="3" spans="1:26" ht="12" customHeight="1" x14ac:dyDescent="0.25">
      <c r="A3" s="8"/>
      <c r="B3" s="97" t="s">
        <v>2</v>
      </c>
      <c r="C3" s="252" t="s">
        <v>670</v>
      </c>
      <c r="D3" s="240"/>
      <c r="E3" s="255" t="s">
        <v>3</v>
      </c>
      <c r="F3" s="240"/>
      <c r="G3" s="98"/>
      <c r="H3" s="99" t="s">
        <v>689</v>
      </c>
      <c r="I3" s="8"/>
      <c r="J3" s="8"/>
      <c r="K3" s="8"/>
      <c r="L3" s="8"/>
      <c r="M3" s="8"/>
      <c r="N3" s="8"/>
      <c r="O3" s="8"/>
      <c r="P3" s="8"/>
      <c r="Q3" s="8"/>
      <c r="R3" s="8"/>
      <c r="S3" s="8"/>
      <c r="T3" s="8"/>
      <c r="U3" s="8"/>
      <c r="V3" s="8"/>
      <c r="W3" s="8"/>
      <c r="X3" s="8"/>
      <c r="Y3" s="8"/>
      <c r="Z3" s="8"/>
    </row>
    <row r="4" spans="1:26" ht="13.8" x14ac:dyDescent="0.25">
      <c r="A4" s="8"/>
      <c r="B4" s="97" t="s">
        <v>4</v>
      </c>
      <c r="C4" s="252" t="s">
        <v>671</v>
      </c>
      <c r="D4" s="240"/>
      <c r="E4" s="255" t="s">
        <v>5</v>
      </c>
      <c r="F4" s="240"/>
      <c r="G4" s="98"/>
      <c r="H4" s="99" t="s">
        <v>692</v>
      </c>
      <c r="I4" s="8"/>
      <c r="J4" s="8"/>
      <c r="K4" s="8"/>
      <c r="L4" s="8"/>
      <c r="M4" s="8"/>
      <c r="N4" s="8"/>
      <c r="O4" s="8"/>
      <c r="P4" s="8"/>
      <c r="Q4" s="8"/>
      <c r="R4" s="8"/>
      <c r="S4" s="8"/>
      <c r="T4" s="8"/>
      <c r="U4" s="8"/>
      <c r="V4" s="8"/>
      <c r="W4" s="8"/>
      <c r="X4" s="8"/>
      <c r="Y4" s="8"/>
      <c r="Z4" s="8"/>
    </row>
    <row r="5" spans="1:26" ht="15.75" customHeight="1" x14ac:dyDescent="0.25">
      <c r="A5" s="8"/>
      <c r="B5" s="100" t="s">
        <v>6</v>
      </c>
      <c r="C5" s="252" t="s">
        <v>691</v>
      </c>
      <c r="D5" s="240"/>
      <c r="E5" s="255" t="s">
        <v>7</v>
      </c>
      <c r="F5" s="240"/>
      <c r="G5" s="98"/>
      <c r="H5" s="208">
        <v>46136</v>
      </c>
      <c r="I5" s="8"/>
      <c r="J5" s="8"/>
      <c r="K5" s="8"/>
      <c r="L5" s="8"/>
      <c r="M5" s="8"/>
      <c r="N5" s="8"/>
      <c r="O5" s="8"/>
      <c r="P5" s="8"/>
      <c r="Q5" s="8"/>
      <c r="R5" s="8"/>
      <c r="S5" s="8"/>
      <c r="T5" s="8"/>
      <c r="U5" s="8"/>
      <c r="V5" s="8"/>
      <c r="W5" s="8"/>
      <c r="X5" s="8"/>
      <c r="Y5" s="8"/>
      <c r="Z5" s="8"/>
    </row>
    <row r="6" spans="1:26" ht="39.6" customHeight="1" x14ac:dyDescent="0.25">
      <c r="A6" s="95"/>
      <c r="B6" s="100" t="s">
        <v>52</v>
      </c>
      <c r="C6" s="254" t="s">
        <v>688</v>
      </c>
      <c r="D6" s="256"/>
      <c r="E6" s="256"/>
      <c r="F6" s="256"/>
      <c r="G6" s="256"/>
      <c r="H6" s="257"/>
      <c r="I6" s="8"/>
      <c r="J6" s="8"/>
      <c r="K6" s="8"/>
      <c r="L6" s="8"/>
      <c r="M6" s="8"/>
      <c r="N6" s="8"/>
      <c r="O6" s="8"/>
      <c r="P6" s="8"/>
      <c r="Q6" s="8"/>
      <c r="R6" s="8"/>
      <c r="S6" s="8"/>
      <c r="T6" s="8"/>
      <c r="U6" s="8"/>
      <c r="V6" s="8"/>
      <c r="W6" s="8"/>
      <c r="X6" s="8"/>
      <c r="Y6" s="8"/>
      <c r="Z6" s="8"/>
    </row>
    <row r="7" spans="1:26" ht="14.25" customHeight="1" x14ac:dyDescent="0.25">
      <c r="A7" s="95"/>
      <c r="B7" s="13"/>
      <c r="C7" s="101"/>
      <c r="D7" s="8"/>
      <c r="E7" s="8"/>
      <c r="F7" s="8"/>
      <c r="G7" s="8"/>
      <c r="H7" s="96"/>
      <c r="I7" s="8"/>
      <c r="J7" s="8"/>
      <c r="K7" s="8"/>
      <c r="L7" s="8"/>
      <c r="M7" s="8"/>
      <c r="N7" s="8"/>
      <c r="O7" s="8"/>
      <c r="P7" s="8"/>
      <c r="Q7" s="8"/>
      <c r="R7" s="8"/>
      <c r="S7" s="8"/>
      <c r="T7" s="8"/>
      <c r="U7" s="8"/>
      <c r="V7" s="8"/>
      <c r="W7" s="8"/>
      <c r="X7" s="8"/>
      <c r="Y7" s="8"/>
      <c r="Z7" s="8"/>
    </row>
    <row r="8" spans="1:26" ht="12.75" customHeight="1" x14ac:dyDescent="0.25">
      <c r="A8" s="8"/>
      <c r="B8" s="13"/>
      <c r="C8" s="101"/>
      <c r="D8" s="8"/>
      <c r="E8" s="8"/>
      <c r="F8" s="8"/>
      <c r="G8" s="8"/>
      <c r="H8" s="96"/>
      <c r="I8" s="8"/>
      <c r="J8" s="8"/>
      <c r="K8" s="8"/>
      <c r="L8" s="8"/>
      <c r="M8" s="8"/>
      <c r="N8" s="8"/>
      <c r="O8" s="8"/>
      <c r="P8" s="8"/>
      <c r="Q8" s="8"/>
      <c r="R8" s="8"/>
      <c r="S8" s="8"/>
      <c r="T8" s="8"/>
      <c r="U8" s="8"/>
      <c r="V8" s="8"/>
      <c r="W8" s="8"/>
      <c r="X8" s="8"/>
      <c r="Y8" s="8"/>
      <c r="Z8" s="8"/>
    </row>
    <row r="9" spans="1:26" ht="12.75" customHeight="1" x14ac:dyDescent="0.25">
      <c r="A9" s="8"/>
      <c r="B9" s="8"/>
      <c r="C9" s="8"/>
      <c r="D9" s="8"/>
      <c r="E9" s="8"/>
      <c r="F9" s="8"/>
      <c r="G9" s="8"/>
      <c r="H9" s="8"/>
      <c r="I9" s="8"/>
      <c r="J9" s="8"/>
      <c r="K9" s="8"/>
      <c r="L9" s="8"/>
      <c r="M9" s="8"/>
      <c r="N9" s="8"/>
      <c r="O9" s="8"/>
      <c r="P9" s="8"/>
      <c r="Q9" s="8"/>
      <c r="R9" s="8"/>
      <c r="S9" s="8"/>
      <c r="T9" s="8"/>
      <c r="U9" s="8"/>
      <c r="V9" s="8"/>
      <c r="W9" s="8"/>
      <c r="X9" s="8"/>
      <c r="Y9" s="8"/>
      <c r="Z9" s="8"/>
    </row>
    <row r="10" spans="1:26" ht="12.75" customHeight="1" x14ac:dyDescent="0.25">
      <c r="A10" s="102"/>
      <c r="B10" s="103" t="s">
        <v>25</v>
      </c>
      <c r="C10" s="104" t="s">
        <v>53</v>
      </c>
      <c r="D10" s="105" t="s">
        <v>32</v>
      </c>
      <c r="E10" s="104" t="s">
        <v>34</v>
      </c>
      <c r="F10" s="104" t="s">
        <v>36</v>
      </c>
      <c r="G10" s="106" t="s">
        <v>37</v>
      </c>
      <c r="H10" s="207" t="s">
        <v>54</v>
      </c>
      <c r="I10" s="8"/>
      <c r="J10" s="8"/>
      <c r="K10" s="8"/>
      <c r="L10" s="8"/>
      <c r="M10" s="8"/>
      <c r="N10" s="8"/>
      <c r="O10" s="8"/>
      <c r="P10" s="8"/>
      <c r="Q10" s="8"/>
      <c r="R10" s="8"/>
      <c r="S10" s="8"/>
      <c r="T10" s="8"/>
      <c r="U10" s="8"/>
      <c r="V10" s="8"/>
      <c r="W10" s="8"/>
      <c r="X10" s="8"/>
      <c r="Y10" s="8"/>
      <c r="Z10" s="8"/>
    </row>
    <row r="11" spans="1:26" ht="12.75" customHeight="1" x14ac:dyDescent="0.25">
      <c r="A11" s="102"/>
      <c r="B11" s="107">
        <v>1</v>
      </c>
      <c r="C11" s="108" t="str">
        <f>Login!B2</f>
        <v>Đăng nhập</v>
      </c>
      <c r="D11" s="109">
        <f>Login!A6</f>
        <v>15</v>
      </c>
      <c r="E11" s="109">
        <f>Login!B6</f>
        <v>1</v>
      </c>
      <c r="F11" s="109">
        <f>Login!C6</f>
        <v>1</v>
      </c>
      <c r="G11" s="110">
        <f>Login!D6</f>
        <v>0</v>
      </c>
      <c r="H11" s="111">
        <f>Login!E6</f>
        <v>17</v>
      </c>
      <c r="I11" s="8"/>
      <c r="J11" s="8"/>
      <c r="K11" s="8"/>
      <c r="L11" s="8"/>
      <c r="M11" s="8"/>
      <c r="N11" s="8"/>
      <c r="O11" s="8"/>
      <c r="P11" s="8"/>
      <c r="Q11" s="8"/>
      <c r="R11" s="8"/>
      <c r="S11" s="8"/>
      <c r="T11" s="8"/>
      <c r="U11" s="8"/>
      <c r="V11" s="8"/>
      <c r="W11" s="8"/>
      <c r="X11" s="8"/>
      <c r="Y11" s="8"/>
      <c r="Z11" s="8"/>
    </row>
    <row r="12" spans="1:26" ht="12.75" customHeight="1" x14ac:dyDescent="0.25">
      <c r="A12" s="102"/>
      <c r="B12" s="107">
        <v>2</v>
      </c>
      <c r="C12" s="108" t="s">
        <v>103</v>
      </c>
      <c r="D12" s="206">
        <f>Register!A6</f>
        <v>39</v>
      </c>
      <c r="E12" s="109">
        <f>Register!B6</f>
        <v>17</v>
      </c>
      <c r="F12" s="109">
        <f>Register!C6</f>
        <v>1</v>
      </c>
      <c r="G12" s="110">
        <v>0</v>
      </c>
      <c r="H12" s="111">
        <f>Register!E6</f>
        <v>57</v>
      </c>
      <c r="I12" s="121"/>
      <c r="J12" s="121"/>
      <c r="K12" s="121"/>
      <c r="L12" s="121"/>
      <c r="M12" s="121"/>
      <c r="N12" s="121"/>
      <c r="O12" s="121"/>
      <c r="P12" s="121"/>
      <c r="Q12" s="121"/>
      <c r="R12" s="121"/>
      <c r="S12" s="121"/>
      <c r="T12" s="121"/>
      <c r="U12" s="121"/>
      <c r="V12" s="121"/>
      <c r="W12" s="121"/>
      <c r="X12" s="121"/>
      <c r="Y12" s="121"/>
      <c r="Z12" s="121"/>
    </row>
    <row r="13" spans="1:26" ht="12.75" customHeight="1" x14ac:dyDescent="0.25">
      <c r="A13" s="102"/>
      <c r="B13" s="107">
        <v>3</v>
      </c>
      <c r="C13" s="108" t="s">
        <v>672</v>
      </c>
      <c r="D13" s="206">
        <f>Search!A6</f>
        <v>23</v>
      </c>
      <c r="E13" s="109">
        <f>Search!B6</f>
        <v>0</v>
      </c>
      <c r="F13" s="109">
        <f>Search!C6</f>
        <v>1</v>
      </c>
      <c r="G13" s="110">
        <f>Search!D6</f>
        <v>0</v>
      </c>
      <c r="H13" s="111">
        <f>Search!E6</f>
        <v>24</v>
      </c>
      <c r="I13" s="121"/>
      <c r="J13" s="121"/>
      <c r="K13" s="121"/>
      <c r="L13" s="121"/>
      <c r="M13" s="121"/>
      <c r="N13" s="121"/>
      <c r="O13" s="121"/>
      <c r="P13" s="121"/>
      <c r="Q13" s="121"/>
      <c r="R13" s="121"/>
      <c r="S13" s="121"/>
      <c r="T13" s="121"/>
      <c r="U13" s="121"/>
      <c r="V13" s="121"/>
      <c r="W13" s="121"/>
      <c r="X13" s="121"/>
      <c r="Y13" s="121"/>
      <c r="Z13" s="121"/>
    </row>
    <row r="14" spans="1:26" ht="12.75" customHeight="1" x14ac:dyDescent="0.25">
      <c r="A14" s="102"/>
      <c r="B14" s="107">
        <v>4</v>
      </c>
      <c r="C14" s="108" t="s">
        <v>258</v>
      </c>
      <c r="D14" s="206">
        <f>Category!A6</f>
        <v>7</v>
      </c>
      <c r="E14" s="109">
        <f>Category!B6</f>
        <v>0</v>
      </c>
      <c r="F14" s="109">
        <f>Category!C6</f>
        <v>2</v>
      </c>
      <c r="G14" s="110">
        <v>0</v>
      </c>
      <c r="H14" s="111">
        <f>Category!E6</f>
        <v>9</v>
      </c>
      <c r="I14" s="121"/>
      <c r="J14" s="121"/>
      <c r="K14" s="121"/>
      <c r="L14" s="121"/>
      <c r="M14" s="121"/>
      <c r="N14" s="121"/>
      <c r="O14" s="121"/>
      <c r="P14" s="121"/>
      <c r="Q14" s="121"/>
      <c r="R14" s="121"/>
      <c r="S14" s="121"/>
      <c r="T14" s="121"/>
      <c r="U14" s="121"/>
      <c r="V14" s="121"/>
      <c r="W14" s="121"/>
      <c r="X14" s="121"/>
      <c r="Y14" s="121"/>
      <c r="Z14" s="121"/>
    </row>
    <row r="15" spans="1:26" ht="12.75" customHeight="1" x14ac:dyDescent="0.25">
      <c r="A15" s="102"/>
      <c r="B15" s="107">
        <v>5</v>
      </c>
      <c r="C15" s="108" t="s">
        <v>124</v>
      </c>
      <c r="D15" s="206">
        <f>Product_detail!A6</f>
        <v>10</v>
      </c>
      <c r="E15" s="109">
        <f>Product_detail!B6</f>
        <v>5</v>
      </c>
      <c r="F15" s="109">
        <f>Product_detail!C6</f>
        <v>1</v>
      </c>
      <c r="G15" s="110">
        <v>0</v>
      </c>
      <c r="H15" s="111">
        <f>Product_detail!E6</f>
        <v>16</v>
      </c>
      <c r="I15" s="121"/>
      <c r="J15" s="121"/>
      <c r="K15" s="121"/>
      <c r="L15" s="121"/>
      <c r="M15" s="121"/>
      <c r="N15" s="121"/>
      <c r="O15" s="121"/>
      <c r="P15" s="121"/>
      <c r="Q15" s="121"/>
      <c r="R15" s="121"/>
      <c r="S15" s="121"/>
      <c r="T15" s="121"/>
      <c r="U15" s="121"/>
      <c r="V15" s="121"/>
      <c r="W15" s="121"/>
      <c r="X15" s="121"/>
      <c r="Y15" s="121"/>
      <c r="Z15" s="121"/>
    </row>
    <row r="16" spans="1:26" ht="12.75" customHeight="1" x14ac:dyDescent="0.25">
      <c r="A16" s="102"/>
      <c r="B16" s="107">
        <v>6</v>
      </c>
      <c r="C16" s="108" t="s">
        <v>105</v>
      </c>
      <c r="D16" s="206">
        <f>Order!A6</f>
        <v>11</v>
      </c>
      <c r="E16" s="109">
        <f>Order!B6</f>
        <v>0</v>
      </c>
      <c r="F16" s="109">
        <f>Order!C6</f>
        <v>1</v>
      </c>
      <c r="G16" s="110">
        <v>0</v>
      </c>
      <c r="H16" s="111">
        <f>Order!E6</f>
        <v>12</v>
      </c>
      <c r="I16" s="121"/>
      <c r="J16" s="121"/>
      <c r="K16" s="121"/>
      <c r="L16" s="121"/>
      <c r="M16" s="121"/>
      <c r="N16" s="121"/>
      <c r="O16" s="121"/>
      <c r="P16" s="121"/>
      <c r="Q16" s="121"/>
      <c r="R16" s="121"/>
      <c r="S16" s="121"/>
      <c r="T16" s="121"/>
      <c r="U16" s="121"/>
      <c r="V16" s="121"/>
      <c r="W16" s="121"/>
      <c r="X16" s="121"/>
      <c r="Y16" s="121"/>
      <c r="Z16" s="121"/>
    </row>
    <row r="17" spans="1:26" ht="12.75" customHeight="1" x14ac:dyDescent="0.25">
      <c r="A17" s="102"/>
      <c r="B17" s="107">
        <v>7</v>
      </c>
      <c r="C17" s="108" t="s">
        <v>401</v>
      </c>
      <c r="D17" s="206">
        <f>Cart!A6</f>
        <v>21</v>
      </c>
      <c r="E17" s="109">
        <f>Cart!B6</f>
        <v>4</v>
      </c>
      <c r="F17" s="109">
        <f>Cart!C6</f>
        <v>1</v>
      </c>
      <c r="G17" s="110">
        <v>0</v>
      </c>
      <c r="H17" s="111">
        <f>Cart!E6</f>
        <v>26</v>
      </c>
      <c r="I17" s="121"/>
      <c r="J17" s="121"/>
      <c r="K17" s="121"/>
      <c r="L17" s="121"/>
      <c r="M17" s="121"/>
      <c r="N17" s="121"/>
      <c r="O17" s="121"/>
      <c r="P17" s="121"/>
      <c r="Q17" s="121"/>
      <c r="R17" s="121"/>
      <c r="S17" s="121"/>
      <c r="T17" s="121"/>
      <c r="U17" s="121"/>
      <c r="V17" s="121"/>
      <c r="W17" s="121"/>
      <c r="X17" s="121"/>
      <c r="Y17" s="121"/>
      <c r="Z17" s="121"/>
    </row>
    <row r="18" spans="1:26" ht="12.75" customHeight="1" x14ac:dyDescent="0.25">
      <c r="A18" s="102"/>
      <c r="B18" s="107">
        <v>8</v>
      </c>
      <c r="C18" s="108" t="s">
        <v>449</v>
      </c>
      <c r="D18" s="206">
        <f>Invoice!A6</f>
        <v>12</v>
      </c>
      <c r="E18" s="109">
        <f>Invoice!B6</f>
        <v>1</v>
      </c>
      <c r="F18" s="109">
        <f>Invoice!C6</f>
        <v>1</v>
      </c>
      <c r="G18" s="110">
        <v>1</v>
      </c>
      <c r="H18" s="111">
        <f>Invoice!E6</f>
        <v>15</v>
      </c>
      <c r="I18" s="8"/>
      <c r="J18" s="8"/>
      <c r="K18" s="8"/>
      <c r="L18" s="8"/>
      <c r="M18" s="8"/>
      <c r="N18" s="8"/>
      <c r="O18" s="8"/>
      <c r="P18" s="8"/>
      <c r="Q18" s="8"/>
      <c r="R18" s="8"/>
      <c r="S18" s="8"/>
      <c r="T18" s="8"/>
      <c r="U18" s="8"/>
      <c r="V18" s="8"/>
      <c r="W18" s="8"/>
      <c r="X18" s="8"/>
      <c r="Y18" s="8"/>
      <c r="Z18" s="8"/>
    </row>
    <row r="19" spans="1:26" ht="12.75" customHeight="1" x14ac:dyDescent="0.25">
      <c r="A19" s="102"/>
      <c r="B19" s="112"/>
      <c r="C19" s="113" t="s">
        <v>55</v>
      </c>
      <c r="D19" s="114">
        <f t="shared" ref="D19:G19" si="0">SUM(D11:D18)</f>
        <v>138</v>
      </c>
      <c r="E19" s="114">
        <f t="shared" si="0"/>
        <v>28</v>
      </c>
      <c r="F19" s="114">
        <f t="shared" si="0"/>
        <v>9</v>
      </c>
      <c r="G19" s="114">
        <f t="shared" si="0"/>
        <v>1</v>
      </c>
      <c r="H19" s="115">
        <f>SUM(H9:H18)</f>
        <v>176</v>
      </c>
      <c r="I19" s="8"/>
      <c r="J19" s="8"/>
      <c r="K19" s="8"/>
      <c r="L19" s="8"/>
      <c r="M19" s="8"/>
      <c r="N19" s="8"/>
      <c r="O19" s="8"/>
      <c r="P19" s="8"/>
      <c r="Q19" s="8"/>
      <c r="R19" s="8"/>
      <c r="S19" s="8"/>
      <c r="T19" s="8"/>
      <c r="U19" s="8"/>
      <c r="V19" s="8"/>
      <c r="W19" s="8"/>
      <c r="X19" s="8"/>
      <c r="Y19" s="8"/>
      <c r="Z19" s="8"/>
    </row>
    <row r="20" spans="1:26" ht="12.75" customHeight="1" x14ac:dyDescent="0.25">
      <c r="A20" s="8"/>
      <c r="B20" s="116"/>
      <c r="C20" s="8"/>
      <c r="D20" s="117"/>
      <c r="E20" s="118"/>
      <c r="F20" s="118"/>
      <c r="G20" s="118"/>
      <c r="H20" s="118"/>
      <c r="I20" s="8"/>
      <c r="J20" s="8"/>
      <c r="K20" s="8"/>
      <c r="L20" s="8"/>
      <c r="M20" s="8"/>
      <c r="N20" s="8"/>
      <c r="O20" s="8"/>
      <c r="P20" s="8"/>
      <c r="Q20" s="8"/>
      <c r="R20" s="8"/>
      <c r="S20" s="8"/>
      <c r="T20" s="8"/>
      <c r="U20" s="8"/>
      <c r="V20" s="8"/>
      <c r="W20" s="8"/>
      <c r="X20" s="8"/>
      <c r="Y20" s="8"/>
      <c r="Z20" s="8"/>
    </row>
    <row r="21" spans="1:26" ht="12.75" customHeight="1" x14ac:dyDescent="0.25">
      <c r="A21" s="8"/>
      <c r="B21" s="8"/>
      <c r="C21" s="6" t="s">
        <v>56</v>
      </c>
      <c r="D21" s="8"/>
      <c r="E21" s="119">
        <f>(D19+E19)*100/(H19-G19)</f>
        <v>94.857142857142861</v>
      </c>
      <c r="F21" s="8" t="s">
        <v>57</v>
      </c>
      <c r="G21" s="8"/>
      <c r="H21" s="87"/>
      <c r="I21" s="8"/>
      <c r="J21" s="8"/>
      <c r="K21" s="8"/>
      <c r="L21" s="8"/>
      <c r="M21" s="8"/>
      <c r="N21" s="8"/>
      <c r="O21" s="8"/>
      <c r="P21" s="8"/>
      <c r="Q21" s="8"/>
      <c r="R21" s="8"/>
      <c r="S21" s="8"/>
      <c r="T21" s="8"/>
      <c r="U21" s="8"/>
      <c r="V21" s="8"/>
      <c r="W21" s="8"/>
      <c r="X21" s="8"/>
      <c r="Y21" s="8"/>
      <c r="Z21" s="8"/>
    </row>
    <row r="22" spans="1:26" ht="12.75" customHeight="1" x14ac:dyDescent="0.25">
      <c r="A22" s="8"/>
      <c r="B22" s="8"/>
      <c r="C22" s="6" t="s">
        <v>58</v>
      </c>
      <c r="D22" s="8"/>
      <c r="E22" s="119">
        <f>D19*100/(H19-G19)</f>
        <v>78.857142857142861</v>
      </c>
      <c r="F22" s="8" t="s">
        <v>57</v>
      </c>
      <c r="G22" s="8"/>
      <c r="H22" s="87"/>
      <c r="I22" s="8"/>
      <c r="J22" s="8"/>
      <c r="K22" s="8"/>
      <c r="L22" s="8"/>
      <c r="M22" s="8"/>
      <c r="N22" s="8"/>
      <c r="O22" s="8"/>
      <c r="P22" s="8"/>
      <c r="Q22" s="8"/>
      <c r="R22" s="8"/>
      <c r="S22" s="8"/>
      <c r="T22" s="8"/>
      <c r="U22" s="8"/>
      <c r="V22" s="8"/>
      <c r="W22" s="8"/>
      <c r="X22" s="8"/>
      <c r="Y22" s="8"/>
      <c r="Z22" s="8"/>
    </row>
    <row r="23" spans="1:26" ht="12.75" customHeight="1" x14ac:dyDescent="0.2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2.75" customHeight="1"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2.75"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2.7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2.7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2.7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2.7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2.7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2.7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2.7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2.7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2.7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2.7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2.7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2.7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2.7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2.75"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2.75" customHeight="1"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2.75" customHeight="1"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2.75" customHeight="1"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2.75"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2.75" customHeight="1"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2.75" customHeight="1"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2.75" customHeight="1"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2.75" customHeight="1"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2.75" customHeight="1"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2.75" customHeight="1"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2.75" customHeight="1"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2.75" customHeight="1"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2.75" customHeight="1"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2.75"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2.75" customHeight="1"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2.75" customHeight="1"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2.75" customHeigh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2.75" customHeight="1"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2.75" customHeight="1"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2.75" customHeight="1"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2.75" customHeight="1"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2.75" customHeight="1"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2.75" customHeight="1"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2.75" customHeight="1"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2.75" customHeight="1"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2.75" customHeight="1"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2.75" customHeight="1"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2.75" customHeight="1"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2.75" customHeight="1"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2.75" customHeight="1"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2.75" customHeight="1"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2.75" customHeight="1"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2.75" customHeight="1"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2.75" customHeight="1"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2.75" customHeight="1"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2.75" customHeight="1"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2.75" customHeight="1"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2.75" customHeight="1"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2.75" customHeight="1"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2.75" customHeight="1"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2.75" customHeight="1"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2.75" customHeight="1"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2.75" customHeight="1"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2.75" customHeight="1"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2.75" customHeight="1"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2.75" customHeight="1"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2.75" customHeight="1"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2.75" customHeight="1"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2.75" customHeight="1"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2.75" customHeight="1"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2.75" customHeight="1"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2.75" customHeight="1"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2.75"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2.75" customHeight="1"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2.75" customHeight="1"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2.75" customHeight="1"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2.75" customHeight="1"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2.75" customHeight="1"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2.75" customHeight="1"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2.75" customHeight="1"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2.75" customHeight="1"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2.75" customHeight="1"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2.75"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2.75" customHeight="1"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2.75" customHeight="1"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2.75"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2.75" customHeight="1"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2.75" customHeight="1"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2.75" customHeight="1"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2.75" customHeight="1"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2.75"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2.75" customHeight="1"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2.75"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2.75" customHeight="1"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2.75" customHeight="1"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2.75" customHeight="1"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2.75" customHeight="1"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2.75" customHeight="1"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2.75" customHeight="1"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2.75" customHeight="1"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2.75" customHeight="1"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2.75" customHeight="1"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2.75" customHeight="1"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2.75" customHeight="1"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2.75"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2.75" customHeight="1"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2.75"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2.75" customHeight="1"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2.75" customHeight="1"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2.75" customHeight="1"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2.75" customHeight="1"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2.75" customHeight="1"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2.75" customHeight="1"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2.75" customHeight="1"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2.75" customHeight="1"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2.75" customHeight="1"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2.75" customHeight="1"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2.75" customHeight="1"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2.75" customHeight="1"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2.75" customHeight="1"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2.75" customHeight="1"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2.75" customHeight="1"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2.75"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2.75" customHeight="1"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2.75" customHeight="1"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2.75" customHeight="1"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2.75"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2.75" customHeight="1"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2.75" customHeight="1"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2.75" customHeight="1"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2.75"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2.75" customHeight="1"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2.75" customHeight="1"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2.75"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2.75" customHeight="1"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2.75" customHeight="1"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2.75" customHeight="1"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2.75"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2.75" customHeight="1"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2.75" customHeight="1"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2.75" customHeight="1"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2.75"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2.75" customHeight="1"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2.75" customHeight="1"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2.75" customHeight="1"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2.75" customHeight="1"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2.75" customHeight="1"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2.75" customHeight="1"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2.75" customHeight="1"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2.75" customHeight="1"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2.75" customHeight="1"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2.75" customHeight="1"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2.75"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2.75" customHeight="1"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2.75"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2.75" customHeight="1"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2.75" customHeight="1"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2.75"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2.75" customHeight="1"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2.75"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2.75" customHeight="1"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2.75" customHeight="1"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2.75"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2.75" customHeight="1"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2.75" customHeight="1"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2.75"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2.75" customHeight="1"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2.75" customHeight="1"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2.75"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2.75" customHeight="1"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2.75"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2.75" customHeight="1"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2.75" customHeight="1"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2.75"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2.75" customHeight="1"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2.75" customHeight="1"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2.75"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2.75" customHeight="1"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2.75" customHeight="1"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2.75" customHeight="1"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2.75"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2.75" customHeight="1"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2.75" customHeight="1"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2.75" customHeight="1"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2.75" customHeight="1"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2.75" customHeight="1"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2.75"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2.75" customHeight="1"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2.75" customHeight="1"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2.7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2.75" customHeight="1"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2.75" customHeight="1"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2.75" customHeight="1"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2.75" customHeight="1"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2.75" customHeight="1"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2.75" customHeight="1"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2.75"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2.75"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2.75" customHeight="1"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2.75" customHeight="1"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2.75" customHeight="1"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2.75" customHeight="1"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2.75" customHeight="1"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2.75" customHeight="1"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2.75" customHeight="1"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2.75" customHeight="1"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2.75" customHeight="1"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x14ac:dyDescent="0.2"/>
    <row r="228" spans="1:26" ht="15.75" customHeight="1" x14ac:dyDescent="0.2"/>
    <row r="229" spans="1:26" ht="15.75" customHeight="1" x14ac:dyDescent="0.2"/>
    <row r="230" spans="1:26" ht="15.75" customHeight="1" x14ac:dyDescent="0.2"/>
    <row r="231" spans="1:26" ht="15.75" customHeight="1" x14ac:dyDescent="0.2"/>
    <row r="232" spans="1:26" ht="15.75" customHeight="1" x14ac:dyDescent="0.2"/>
    <row r="233" spans="1:26" ht="15.75" customHeight="1" x14ac:dyDescent="0.2"/>
    <row r="234" spans="1:26" ht="15.75" customHeight="1" x14ac:dyDescent="0.2"/>
    <row r="235" spans="1:26" ht="15.75" customHeight="1" x14ac:dyDescent="0.2"/>
    <row r="236" spans="1:26" ht="15.75" customHeight="1" x14ac:dyDescent="0.2"/>
    <row r="237" spans="1:26" ht="15.75" customHeight="1" x14ac:dyDescent="0.2"/>
    <row r="238" spans="1:26" ht="15.75" customHeight="1" x14ac:dyDescent="0.2"/>
    <row r="239" spans="1:26" ht="15.75" customHeight="1" x14ac:dyDescent="0.2"/>
    <row r="240" spans="1:2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Invoice</vt:lpstr>
      <vt:lpstr>Cart</vt:lpstr>
      <vt:lpstr>Order</vt:lpstr>
      <vt:lpstr>Register</vt:lpstr>
      <vt:lpstr>Product_detail</vt:lpstr>
      <vt:lpstr>Category</vt:lpstr>
      <vt:lpstr>Search</vt:lpstr>
      <vt:lpstr>Login</vt:lpstr>
      <vt:lpstr>Cover</vt:lpstr>
      <vt:lpstr>Test case List</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Vu Hong</cp:lastModifiedBy>
  <dcterms:modified xsi:type="dcterms:W3CDTF">2026-04-24T15:25:18Z</dcterms:modified>
</cp:coreProperties>
</file>